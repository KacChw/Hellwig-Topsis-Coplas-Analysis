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a9d0e43afa9ebc/Documents/UG/Analiza wielowymiarowa/CW_16_05/"/>
    </mc:Choice>
  </mc:AlternateContent>
  <xr:revisionPtr revIDLastSave="423" documentId="13_ncr:1_{4CF1B5D3-E5BA-490A-93EC-49CD7AAE5B8C}" xr6:coauthVersionLast="47" xr6:coauthVersionMax="47" xr10:uidLastSave="{E23C29C4-8D02-4990-AC9A-488BCE14D754}"/>
  <bookViews>
    <workbookView xWindow="-98" yWindow="-98" windowWidth="21795" windowHeight="12975" xr2:uid="{13DE6EAD-AC99-4B9B-9E59-CC7662FAA311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1" i="1" l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30" i="1"/>
  <c r="M247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30" i="1"/>
  <c r="L246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30" i="1"/>
  <c r="K246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K230" i="1"/>
  <c r="J230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18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68" i="1"/>
  <c r="M82" i="1"/>
  <c r="N62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18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68" i="1"/>
  <c r="M62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C188" i="1"/>
  <c r="D188" i="1"/>
  <c r="E188" i="1"/>
  <c r="F188" i="1"/>
  <c r="G188" i="1"/>
  <c r="H188" i="1"/>
  <c r="I188" i="1"/>
  <c r="B188" i="1"/>
  <c r="B168" i="1"/>
  <c r="D164" i="1"/>
  <c r="B164" i="1"/>
  <c r="C164" i="1"/>
  <c r="G164" i="1"/>
  <c r="I164" i="1"/>
  <c r="H164" i="1"/>
  <c r="F164" i="1"/>
  <c r="E164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C168" i="1"/>
  <c r="D168" i="1"/>
  <c r="E168" i="1"/>
  <c r="F168" i="1"/>
  <c r="G168" i="1"/>
  <c r="H168" i="1"/>
  <c r="I168" i="1"/>
  <c r="B62" i="1"/>
  <c r="B57" i="1"/>
  <c r="I163" i="1"/>
  <c r="H163" i="1"/>
  <c r="F163" i="1"/>
  <c r="E163" i="1"/>
  <c r="G163" i="1"/>
  <c r="D163" i="1"/>
  <c r="C163" i="1"/>
  <c r="B163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47" i="1"/>
  <c r="C147" i="1"/>
  <c r="D147" i="1"/>
  <c r="E147" i="1"/>
  <c r="F147" i="1"/>
  <c r="G147" i="1"/>
  <c r="H147" i="1"/>
  <c r="I147" i="1"/>
  <c r="C146" i="1"/>
  <c r="D146" i="1"/>
  <c r="E146" i="1"/>
  <c r="F146" i="1"/>
  <c r="G146" i="1"/>
  <c r="H146" i="1"/>
  <c r="I146" i="1"/>
  <c r="B146" i="1"/>
  <c r="C141" i="1"/>
  <c r="C142" i="1" s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C124" i="1"/>
  <c r="D124" i="1"/>
  <c r="D141" i="1" s="1"/>
  <c r="D142" i="1" s="1"/>
  <c r="E124" i="1"/>
  <c r="E141" i="1" s="1"/>
  <c r="E142" i="1" s="1"/>
  <c r="F124" i="1"/>
  <c r="F141" i="1" s="1"/>
  <c r="F142" i="1" s="1"/>
  <c r="G124" i="1"/>
  <c r="G141" i="1" s="1"/>
  <c r="G142" i="1" s="1"/>
  <c r="H124" i="1"/>
  <c r="H141" i="1" s="1"/>
  <c r="H142" i="1" s="1"/>
  <c r="I124" i="1"/>
  <c r="I141" i="1" s="1"/>
  <c r="I142" i="1" s="1"/>
  <c r="B124" i="1"/>
  <c r="B141" i="1" s="1"/>
  <c r="B142" i="1" s="1"/>
  <c r="E43" i="1"/>
  <c r="F43" i="1"/>
  <c r="G43" i="1"/>
  <c r="E46" i="1"/>
  <c r="F46" i="1"/>
  <c r="E48" i="1"/>
  <c r="E51" i="1"/>
  <c r="F51" i="1"/>
  <c r="E40" i="1"/>
  <c r="F40" i="1"/>
  <c r="C32" i="1"/>
  <c r="D32" i="1"/>
  <c r="E32" i="1"/>
  <c r="E53" i="1" s="1"/>
  <c r="F32" i="1"/>
  <c r="F33" i="1" s="1"/>
  <c r="G32" i="1"/>
  <c r="G41" i="1" s="1"/>
  <c r="H32" i="1"/>
  <c r="H33" i="1" s="1"/>
  <c r="I32" i="1"/>
  <c r="J32" i="1"/>
  <c r="J33" i="1" s="1"/>
  <c r="K32" i="1"/>
  <c r="L32" i="1"/>
  <c r="L33" i="1" s="1"/>
  <c r="M32" i="1"/>
  <c r="M33" i="1" s="1"/>
  <c r="B32" i="1"/>
  <c r="B48" i="1" s="1"/>
  <c r="C31" i="1"/>
  <c r="C46" i="1" s="1"/>
  <c r="D31" i="1"/>
  <c r="E31" i="1"/>
  <c r="F31" i="1"/>
  <c r="F47" i="1" s="1"/>
  <c r="G31" i="1"/>
  <c r="H31" i="1"/>
  <c r="I31" i="1"/>
  <c r="I47" i="1" s="1"/>
  <c r="J31" i="1"/>
  <c r="J47" i="1" s="1"/>
  <c r="K31" i="1"/>
  <c r="K42" i="1" s="1"/>
  <c r="L31" i="1"/>
  <c r="M31" i="1"/>
  <c r="B31" i="1"/>
  <c r="B40" i="1" s="1"/>
  <c r="F54" i="1" l="1"/>
  <c r="H47" i="1"/>
  <c r="E54" i="1"/>
  <c r="G47" i="1"/>
  <c r="H44" i="1"/>
  <c r="J53" i="1"/>
  <c r="E42" i="1"/>
  <c r="J42" i="1"/>
  <c r="G44" i="1"/>
  <c r="C53" i="1"/>
  <c r="E47" i="1"/>
  <c r="J41" i="1"/>
  <c r="F41" i="1"/>
  <c r="J52" i="1"/>
  <c r="I46" i="1"/>
  <c r="I41" i="1"/>
  <c r="E41" i="1"/>
  <c r="F52" i="1"/>
  <c r="H46" i="1"/>
  <c r="H41" i="1"/>
  <c r="D43" i="1"/>
  <c r="E33" i="1"/>
  <c r="E52" i="1"/>
  <c r="G46" i="1"/>
  <c r="H54" i="1"/>
  <c r="H55" i="1"/>
  <c r="J45" i="1"/>
  <c r="G55" i="1"/>
  <c r="C45" i="1"/>
  <c r="F55" i="1"/>
  <c r="F44" i="1"/>
  <c r="H49" i="1"/>
  <c r="G54" i="1"/>
  <c r="G51" i="1"/>
  <c r="J50" i="1"/>
  <c r="K55" i="1"/>
  <c r="E50" i="1"/>
  <c r="J44" i="1"/>
  <c r="B43" i="1"/>
  <c r="E55" i="1"/>
  <c r="J49" i="1"/>
  <c r="I44" i="1"/>
  <c r="I54" i="1"/>
  <c r="I49" i="1"/>
  <c r="E44" i="1"/>
  <c r="B54" i="1"/>
  <c r="B46" i="1"/>
  <c r="D41" i="1"/>
  <c r="K53" i="1"/>
  <c r="I42" i="1"/>
  <c r="D52" i="1"/>
  <c r="D44" i="1"/>
  <c r="B41" i="1"/>
  <c r="I53" i="1"/>
  <c r="G50" i="1"/>
  <c r="I45" i="1"/>
  <c r="C44" i="1"/>
  <c r="G42" i="1"/>
  <c r="K40" i="1"/>
  <c r="D55" i="1"/>
  <c r="H53" i="1"/>
  <c r="B52" i="1"/>
  <c r="F50" i="1"/>
  <c r="J48" i="1"/>
  <c r="D47" i="1"/>
  <c r="H45" i="1"/>
  <c r="B44" i="1"/>
  <c r="F42" i="1"/>
  <c r="D49" i="1"/>
  <c r="C49" i="1"/>
  <c r="C33" i="1"/>
  <c r="H50" i="1"/>
  <c r="H42" i="1"/>
  <c r="K48" i="1"/>
  <c r="J40" i="1"/>
  <c r="G53" i="1"/>
  <c r="C47" i="1"/>
  <c r="F53" i="1"/>
  <c r="B33" i="1"/>
  <c r="K54" i="1"/>
  <c r="I51" i="1"/>
  <c r="E45" i="1"/>
  <c r="C42" i="1"/>
  <c r="K52" i="1"/>
  <c r="K44" i="1"/>
  <c r="D33" i="1"/>
  <c r="I50" i="1"/>
  <c r="K45" i="1"/>
  <c r="C41" i="1"/>
  <c r="B49" i="1"/>
  <c r="C52" i="1"/>
  <c r="C55" i="1"/>
  <c r="K51" i="1"/>
  <c r="I48" i="1"/>
  <c r="G45" i="1"/>
  <c r="K43" i="1"/>
  <c r="I40" i="1"/>
  <c r="I57" i="1" s="1"/>
  <c r="B55" i="1"/>
  <c r="J51" i="1"/>
  <c r="D50" i="1"/>
  <c r="H48" i="1"/>
  <c r="B47" i="1"/>
  <c r="F45" i="1"/>
  <c r="J43" i="1"/>
  <c r="D42" i="1"/>
  <c r="H40" i="1"/>
  <c r="C50" i="1"/>
  <c r="G48" i="1"/>
  <c r="K46" i="1"/>
  <c r="I43" i="1"/>
  <c r="G40" i="1"/>
  <c r="J54" i="1"/>
  <c r="D53" i="1"/>
  <c r="H51" i="1"/>
  <c r="B50" i="1"/>
  <c r="F48" i="1"/>
  <c r="J46" i="1"/>
  <c r="D45" i="1"/>
  <c r="H43" i="1"/>
  <c r="B42" i="1"/>
  <c r="K33" i="1"/>
  <c r="B53" i="1"/>
  <c r="D48" i="1"/>
  <c r="B45" i="1"/>
  <c r="G33" i="1"/>
  <c r="J55" i="1"/>
  <c r="D54" i="1"/>
  <c r="H52" i="1"/>
  <c r="B51" i="1"/>
  <c r="F49" i="1"/>
  <c r="D46" i="1"/>
  <c r="K49" i="1"/>
  <c r="K41" i="1"/>
  <c r="D40" i="1"/>
  <c r="C48" i="1"/>
  <c r="I33" i="1"/>
  <c r="C40" i="1"/>
  <c r="D51" i="1"/>
  <c r="I52" i="1"/>
  <c r="C51" i="1"/>
  <c r="G49" i="1"/>
  <c r="K47" i="1"/>
  <c r="C43" i="1"/>
  <c r="I55" i="1"/>
  <c r="C54" i="1"/>
  <c r="G52" i="1"/>
  <c r="K50" i="1"/>
  <c r="E49" i="1"/>
  <c r="F57" i="1" l="1"/>
  <c r="F77" i="1"/>
  <c r="F74" i="1"/>
  <c r="F69" i="1"/>
  <c r="F65" i="1"/>
  <c r="F62" i="1"/>
  <c r="F68" i="1"/>
  <c r="F73" i="1"/>
  <c r="F63" i="1"/>
  <c r="F66" i="1"/>
  <c r="F76" i="1"/>
  <c r="J73" i="1"/>
  <c r="B63" i="1"/>
  <c r="B77" i="1"/>
  <c r="D75" i="1"/>
  <c r="D74" i="1"/>
  <c r="B73" i="1"/>
  <c r="J57" i="1"/>
  <c r="J76" i="1" s="1"/>
  <c r="B64" i="1"/>
  <c r="G57" i="1"/>
  <c r="D63" i="1"/>
  <c r="B74" i="1"/>
  <c r="C72" i="1"/>
  <c r="F71" i="1"/>
  <c r="F64" i="1"/>
  <c r="J77" i="1"/>
  <c r="F72" i="1"/>
  <c r="F75" i="1"/>
  <c r="B76" i="1"/>
  <c r="C57" i="1"/>
  <c r="C76" i="1" s="1"/>
  <c r="C63" i="1"/>
  <c r="J68" i="1"/>
  <c r="D68" i="1"/>
  <c r="B72" i="1"/>
  <c r="B68" i="1"/>
  <c r="B67" i="1"/>
  <c r="E57" i="1"/>
  <c r="E71" i="1" s="1"/>
  <c r="D70" i="1"/>
  <c r="H57" i="1"/>
  <c r="H73" i="1" s="1"/>
  <c r="K57" i="1"/>
  <c r="K63" i="1" s="1"/>
  <c r="C70" i="1"/>
  <c r="F67" i="1"/>
  <c r="D57" i="1"/>
  <c r="D65" i="1" s="1"/>
  <c r="F70" i="1"/>
  <c r="D72" i="1"/>
  <c r="K62" i="1" l="1"/>
  <c r="H62" i="1"/>
  <c r="K75" i="1"/>
  <c r="C66" i="1"/>
  <c r="C77" i="1"/>
  <c r="K73" i="1"/>
  <c r="C69" i="1"/>
  <c r="K68" i="1"/>
  <c r="K71" i="1"/>
  <c r="K65" i="1"/>
  <c r="K70" i="1"/>
  <c r="K69" i="1"/>
  <c r="C73" i="1"/>
  <c r="K76" i="1"/>
  <c r="C65" i="1"/>
  <c r="C64" i="1"/>
  <c r="B69" i="1"/>
  <c r="J70" i="1"/>
  <c r="K67" i="1"/>
  <c r="D71" i="1"/>
  <c r="H69" i="1"/>
  <c r="H66" i="1"/>
  <c r="H76" i="1"/>
  <c r="H68" i="1"/>
  <c r="H63" i="1"/>
  <c r="H77" i="1"/>
  <c r="H71" i="1"/>
  <c r="E65" i="1"/>
  <c r="E69" i="1"/>
  <c r="E72" i="1"/>
  <c r="L72" i="1" s="1"/>
  <c r="M72" i="1" s="1"/>
  <c r="E73" i="1"/>
  <c r="E77" i="1"/>
  <c r="E68" i="1"/>
  <c r="E64" i="1"/>
  <c r="E76" i="1"/>
  <c r="E70" i="1"/>
  <c r="E66" i="1"/>
  <c r="E63" i="1"/>
  <c r="E62" i="1"/>
  <c r="E75" i="1"/>
  <c r="E74" i="1"/>
  <c r="H70" i="1"/>
  <c r="L63" i="1"/>
  <c r="M63" i="1" s="1"/>
  <c r="H72" i="1"/>
  <c r="D76" i="1"/>
  <c r="L76" i="1" s="1"/>
  <c r="M76" i="1" s="1"/>
  <c r="D62" i="1"/>
  <c r="H64" i="1"/>
  <c r="D69" i="1"/>
  <c r="D67" i="1"/>
  <c r="H67" i="1"/>
  <c r="H65" i="1"/>
  <c r="J75" i="1"/>
  <c r="J63" i="1"/>
  <c r="J67" i="1"/>
  <c r="J69" i="1"/>
  <c r="J72" i="1"/>
  <c r="J64" i="1"/>
  <c r="J71" i="1"/>
  <c r="J74" i="1"/>
  <c r="J66" i="1"/>
  <c r="E67" i="1"/>
  <c r="J65" i="1"/>
  <c r="J62" i="1"/>
  <c r="H74" i="1"/>
  <c r="C75" i="1"/>
  <c r="C68" i="1"/>
  <c r="C67" i="1"/>
  <c r="L67" i="1" s="1"/>
  <c r="M67" i="1" s="1"/>
  <c r="B70" i="1"/>
  <c r="L70" i="1" s="1"/>
  <c r="M70" i="1" s="1"/>
  <c r="B65" i="1"/>
  <c r="K77" i="1"/>
  <c r="K64" i="1"/>
  <c r="B66" i="1"/>
  <c r="C62" i="1"/>
  <c r="K66" i="1"/>
  <c r="D64" i="1"/>
  <c r="D66" i="1"/>
  <c r="H75" i="1"/>
  <c r="K72" i="1"/>
  <c r="D73" i="1"/>
  <c r="C71" i="1"/>
  <c r="D77" i="1"/>
  <c r="K74" i="1"/>
  <c r="C74" i="1"/>
  <c r="L74" i="1" s="1"/>
  <c r="M74" i="1" s="1"/>
  <c r="B75" i="1"/>
  <c r="B71" i="1"/>
  <c r="L64" i="1" l="1"/>
  <c r="M64" i="1" s="1"/>
  <c r="L69" i="1"/>
  <c r="M69" i="1" s="1"/>
  <c r="L75" i="1"/>
  <c r="M75" i="1" s="1"/>
  <c r="L73" i="1"/>
  <c r="M73" i="1" s="1"/>
  <c r="L68" i="1"/>
  <c r="M68" i="1" s="1"/>
  <c r="L77" i="1"/>
  <c r="M77" i="1" s="1"/>
  <c r="L62" i="1"/>
  <c r="L66" i="1"/>
  <c r="M66" i="1" s="1"/>
  <c r="L71" i="1"/>
  <c r="M71" i="1" s="1"/>
  <c r="L65" i="1"/>
  <c r="M65" i="1" s="1"/>
  <c r="M81" i="1" l="1"/>
  <c r="M79" i="1"/>
  <c r="M80" i="1"/>
  <c r="N65" i="1" s="1"/>
  <c r="N68" i="1" l="1"/>
  <c r="N72" i="1"/>
  <c r="N64" i="1"/>
  <c r="N69" i="1"/>
  <c r="N73" i="1"/>
  <c r="N77" i="1"/>
  <c r="N74" i="1"/>
  <c r="N76" i="1"/>
  <c r="N63" i="1"/>
  <c r="N67" i="1"/>
  <c r="N75" i="1"/>
  <c r="N70" i="1"/>
  <c r="N66" i="1"/>
  <c r="N71" i="1"/>
</calcChain>
</file>

<file path=xl/sharedStrings.xml><?xml version="1.0" encoding="utf-8"?>
<sst xmlns="http://schemas.openxmlformats.org/spreadsheetml/2006/main" count="439" uniqueCount="76">
  <si>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</si>
  <si>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</si>
  <si>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</si>
  <si>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</si>
  <si>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</si>
  <si>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</si>
  <si>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</si>
  <si>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</si>
  <si>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</si>
  <si>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</si>
  <si>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</si>
  <si>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</si>
  <si>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</si>
  <si>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</si>
  <si>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</si>
  <si>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</si>
  <si>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</si>
  <si>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</si>
  <si>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</si>
  <si>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</si>
  <si>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</si>
  <si>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</si>
  <si>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</si>
  <si>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</si>
  <si>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</si>
  <si>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</si>
  <si>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</si>
  <si>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</si>
  <si>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Mieszkania oddane do użytkowania na 10000 osób</t>
  </si>
  <si>
    <t>Drogi publiczne o twardej nawierzchni na 100 km2 w km</t>
  </si>
  <si>
    <t>Liczba łóżek w szpitalach psychiatrycznych na 100000 osób</t>
  </si>
  <si>
    <t>Stopa bezrobocia %</t>
  </si>
  <si>
    <t>Zatrudnieni w warunkach zagrożenia czynnikami szkodliwymi dla zdrowia w % ogółu badanej zbiorowości</t>
  </si>
  <si>
    <t>Widzowie kin na jeden seans</t>
  </si>
  <si>
    <t>Współczynnik skolaryzacji netto studentów szkół wyższych w wieku 19-24 lata</t>
  </si>
  <si>
    <t>% przestępstw wykrytych w zakończonych postępowaniach</t>
  </si>
  <si>
    <t>Liczba ludności na 0,1 lekarza</t>
  </si>
  <si>
    <t>Zgony niemowląt na 10 tys. urodzeń żywych</t>
  </si>
  <si>
    <t>Przeciętne miesięczne wynagrodzenie brutto w setkach zł</t>
  </si>
  <si>
    <t>Samochody osobowe zarejestrowane na 100 osób</t>
  </si>
  <si>
    <t>s</t>
  </si>
  <si>
    <t>s - stymulanta</t>
  </si>
  <si>
    <t>d</t>
  </si>
  <si>
    <t>d - destymulanta</t>
  </si>
  <si>
    <t>s/d</t>
  </si>
  <si>
    <t>ŚREDNIA</t>
  </si>
  <si>
    <t>ODCH. STAND</t>
  </si>
  <si>
    <t>WSP. ZMiENNOŚCI</t>
  </si>
  <si>
    <t>1. standaryzacja</t>
  </si>
  <si>
    <t>WZORZEC</t>
  </si>
  <si>
    <t>2. obl odl od wzorca</t>
  </si>
  <si>
    <t>SUMA</t>
  </si>
  <si>
    <t>di0</t>
  </si>
  <si>
    <t>srednia d0-</t>
  </si>
  <si>
    <t>odch.std.</t>
  </si>
  <si>
    <t>d0 =</t>
  </si>
  <si>
    <t>qi / mi</t>
  </si>
  <si>
    <t>qi sorted</t>
  </si>
  <si>
    <t>HELLWIG</t>
  </si>
  <si>
    <t>3. TOPSIS</t>
  </si>
  <si>
    <t>PIERWIASTEK</t>
  </si>
  <si>
    <t>wzorzec</t>
  </si>
  <si>
    <t>antywzorzec</t>
  </si>
  <si>
    <t>suma</t>
  </si>
  <si>
    <t>di0-</t>
  </si>
  <si>
    <t>qi</t>
  </si>
  <si>
    <t>di0+</t>
  </si>
  <si>
    <t>wynik:</t>
  </si>
  <si>
    <t>TOPSIS</t>
  </si>
  <si>
    <t>3. COPPER</t>
  </si>
  <si>
    <t>si+</t>
  </si>
  <si>
    <t>si-</t>
  </si>
  <si>
    <t>1/si-</t>
  </si>
  <si>
    <t>max</t>
  </si>
  <si>
    <t>Qi</t>
  </si>
  <si>
    <t>COPRAS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</si>
</sst>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,_z_ł_-;\-* #,##0.00,_z_ł_-;_-* \-??\ _z_ł_-;_-@_-"/>
    <numFmt numFmtId="165" formatCode="@\ *."/>
    <numFmt numFmtId="168" formatCode="0.0000"/>
    <numFmt numFmtId="169" formatCode="0.000"/>
    <numFmt numFmtId="170" formatCode="0.0"/>
  </numFmts>
  <fonts count="2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sz val="11"/>
      <color rgb="FF000000"/>
      <name val="Calibri"/>
      <family val="2"/>
      <scheme val="minor"/>
    </font>
    <font>
      <sz val="9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i/>
      <sz val="9"/>
      <name val="Arial"/>
      <family val="2"/>
      <charset val="238"/>
    </font>
    <font>
      <sz val="10"/>
      <color rgb="FF000000"/>
      <name val="Arial CE"/>
      <charset val="238"/>
    </font>
    <font>
      <u/>
      <sz val="10"/>
      <color rgb="FF0000FF"/>
      <name val="Arial CE"/>
      <charset val="238"/>
    </font>
    <font>
      <sz val="10"/>
      <name val="Arial CE"/>
      <charset val="238"/>
    </font>
    <font>
      <sz val="11"/>
      <name val="Arial CE"/>
      <family val="2"/>
      <charset val="238"/>
    </font>
    <font>
      <sz val="11"/>
      <color indexed="8"/>
      <name val="Czcionka tekstu podstawowego"/>
      <family val="2"/>
      <charset val="238"/>
    </font>
    <font>
      <u/>
      <sz val="11"/>
      <color indexed="12"/>
      <name val="Arial CE"/>
      <family val="2"/>
      <charset val="238"/>
    </font>
    <font>
      <i/>
      <sz val="10"/>
      <name val="Times New Roman"/>
      <family val="1"/>
      <charset val="238"/>
    </font>
    <font>
      <i/>
      <sz val="10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0"/>
      <color indexed="12"/>
      <name val="Arial"/>
      <family val="2"/>
      <charset val="238"/>
    </font>
    <font>
      <sz val="11"/>
      <name val="Arial CE"/>
      <charset val="238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35">
    <xf numFmtId="0" fontId="0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6" fillId="0" borderId="0" applyNumberFormat="0" applyFill="0" applyBorder="0" applyAlignment="0" applyProtection="0"/>
    <xf numFmtId="0" fontId="2" fillId="0" borderId="0"/>
    <xf numFmtId="0" fontId="8" fillId="0" borderId="0"/>
    <xf numFmtId="164" fontId="8" fillId="0" borderId="0" applyBorder="0" applyProtection="0"/>
    <xf numFmtId="0" fontId="9" fillId="0" borderId="0" applyBorder="0" applyProtection="0"/>
    <xf numFmtId="0" fontId="11" fillId="0" borderId="0"/>
    <xf numFmtId="0" fontId="11" fillId="0" borderId="0"/>
    <xf numFmtId="0" fontId="11" fillId="0" borderId="0"/>
    <xf numFmtId="0" fontId="12" fillId="0" borderId="0"/>
    <xf numFmtId="0" fontId="10" fillId="0" borderId="0"/>
    <xf numFmtId="0" fontId="10" fillId="0" borderId="0"/>
    <xf numFmtId="0" fontId="3" fillId="0" borderId="0"/>
    <xf numFmtId="9" fontId="1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5" fillId="0" borderId="0" applyFill="0" applyBorder="0" applyProtection="0"/>
    <xf numFmtId="165" fontId="1" fillId="0" borderId="3" applyFill="0" applyBorder="0" applyProtection="0"/>
    <xf numFmtId="0" fontId="15" fillId="0" borderId="0" applyFill="0" applyBorder="0" applyProtection="0">
      <alignment horizontal="left" indent="1"/>
    </xf>
    <xf numFmtId="165" fontId="1" fillId="0" borderId="0" applyFill="0" applyBorder="0" applyProtection="0">
      <alignment horizontal="left" indent="1"/>
    </xf>
    <xf numFmtId="0" fontId="15" fillId="0" borderId="0" applyFill="0" applyBorder="0" applyProtection="0">
      <alignment horizontal="left" indent="2"/>
    </xf>
    <xf numFmtId="165" fontId="1" fillId="0" borderId="3" applyNumberFormat="0" applyFill="0" applyBorder="0" applyProtection="0">
      <alignment horizontal="left" indent="2"/>
    </xf>
    <xf numFmtId="165" fontId="1" fillId="0" borderId="3" applyNumberFormat="0" applyFill="0" applyBorder="0" applyProtection="0">
      <alignment horizontal="left" indent="2"/>
    </xf>
    <xf numFmtId="0" fontId="1" fillId="0" borderId="4">
      <alignment vertical="center" wrapText="1"/>
    </xf>
    <xf numFmtId="0" fontId="1" fillId="0" borderId="4">
      <alignment vertical="center" wrapText="1"/>
    </xf>
    <xf numFmtId="0" fontId="1" fillId="0" borderId="4">
      <alignment vertical="center" wrapText="1"/>
    </xf>
    <xf numFmtId="0" fontId="1" fillId="0" borderId="4">
      <alignment vertical="center" wrapText="1"/>
    </xf>
    <xf numFmtId="0" fontId="16" fillId="0" borderId="0" applyNumberFormat="0" applyFill="0" applyBorder="0" applyAlignment="0" applyProtection="0"/>
    <xf numFmtId="0" fontId="1" fillId="0" borderId="0">
      <alignment horizontal="right" indent="1"/>
    </xf>
    <xf numFmtId="0" fontId="1" fillId="0" borderId="0">
      <alignment horizontal="right"/>
    </xf>
    <xf numFmtId="0" fontId="2" fillId="0" borderId="0"/>
    <xf numFmtId="0" fontId="1" fillId="0" borderId="0"/>
    <xf numFmtId="0" fontId="2" fillId="0" borderId="0"/>
    <xf numFmtId="0" fontId="10" fillId="0" borderId="0"/>
    <xf numFmtId="0" fontId="11" fillId="0" borderId="0"/>
    <xf numFmtId="0" fontId="1" fillId="0" borderId="0"/>
    <xf numFmtId="0" fontId="1" fillId="0" borderId="0"/>
    <xf numFmtId="0" fontId="3" fillId="0" borderId="0"/>
    <xf numFmtId="0" fontId="14" fillId="0" borderId="0">
      <alignment horizontal="left" indent="1"/>
    </xf>
    <xf numFmtId="0" fontId="14" fillId="0" borderId="0">
      <alignment horizontal="left" indent="1"/>
    </xf>
    <xf numFmtId="0" fontId="7" fillId="0" borderId="0" applyFill="0" applyBorder="0" applyProtection="0">
      <alignment horizontal="left" indent="8"/>
    </xf>
    <xf numFmtId="0" fontId="5" fillId="0" borderId="0">
      <alignment horizontal="left" indent="8"/>
    </xf>
    <xf numFmtId="0" fontId="1" fillId="0" borderId="0" applyFill="0" applyBorder="0" applyAlignment="0" applyProtection="0">
      <alignment horizontal="left" wrapText="1"/>
    </xf>
    <xf numFmtId="0" fontId="1" fillId="0" borderId="0" applyFill="0" applyBorder="0" applyAlignment="0" applyProtection="0">
      <alignment horizontal="left" wrapText="1"/>
    </xf>
    <xf numFmtId="0" fontId="1" fillId="0" borderId="0" applyFill="0" applyBorder="0" applyAlignment="0" applyProtection="0">
      <alignment horizontal="left" wrapText="1"/>
    </xf>
    <xf numFmtId="0" fontId="1" fillId="0" borderId="0" applyFill="0" applyBorder="0" applyAlignment="0" applyProtection="0">
      <alignment horizontal="left" wrapText="1"/>
    </xf>
    <xf numFmtId="0" fontId="15" fillId="0" borderId="0">
      <alignment horizontal="left" indent="8"/>
    </xf>
    <xf numFmtId="0" fontId="2" fillId="3" borderId="2" applyNumberFormat="0" applyFont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4">
      <alignment vertical="center" wrapText="1"/>
    </xf>
    <xf numFmtId="0" fontId="1" fillId="0" borderId="4">
      <alignment vertical="center" wrapText="1"/>
    </xf>
    <xf numFmtId="0" fontId="1" fillId="0" borderId="4">
      <alignment vertical="center" wrapText="1"/>
    </xf>
    <xf numFmtId="0" fontId="17" fillId="0" borderId="0" applyNumberFormat="0" applyFill="0" applyBorder="0" applyAlignment="0" applyProtection="0">
      <alignment vertical="top"/>
      <protection locked="0"/>
    </xf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1" fillId="0" borderId="0" applyNumberFormat="0" applyBorder="0" applyAlignment="0"/>
    <xf numFmtId="0" fontId="2" fillId="0" borderId="0"/>
    <xf numFmtId="0" fontId="18" fillId="0" borderId="0"/>
    <xf numFmtId="0" fontId="10" fillId="0" borderId="0"/>
    <xf numFmtId="0" fontId="6" fillId="0" borderId="0" applyNumberFormat="0" applyFill="0" applyBorder="0" applyAlignment="0" applyProtection="0"/>
    <xf numFmtId="0" fontId="3" fillId="0" borderId="0"/>
    <xf numFmtId="165" fontId="1" fillId="0" borderId="3" applyFill="0" applyBorder="0" applyProtection="0"/>
    <xf numFmtId="165" fontId="1" fillId="0" borderId="3" applyNumberFormat="0" applyFill="0" applyBorder="0" applyProtection="0">
      <alignment horizontal="left" indent="2"/>
    </xf>
    <xf numFmtId="165" fontId="1" fillId="0" borderId="3" applyNumberFormat="0" applyFill="0" applyBorder="0" applyProtection="0">
      <alignment horizontal="left" indent="2"/>
    </xf>
    <xf numFmtId="0" fontId="2" fillId="0" borderId="0"/>
    <xf numFmtId="0" fontId="2" fillId="0" borderId="0"/>
    <xf numFmtId="0" fontId="3" fillId="0" borderId="0"/>
    <xf numFmtId="0" fontId="2" fillId="3" borderId="2" applyNumberFormat="0" applyFont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2" applyNumberFormat="0" applyFont="0" applyAlignment="0" applyProtection="0"/>
    <xf numFmtId="9" fontId="11" fillId="0" borderId="0" applyFont="0" applyFill="0" applyBorder="0" applyAlignment="0" applyProtection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3" borderId="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3" borderId="2" applyNumberFormat="0" applyFont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Fill="1" applyBorder="1"/>
    <xf numFmtId="168" fontId="0" fillId="0" borderId="0" xfId="0" applyNumberFormat="1"/>
    <xf numFmtId="169" fontId="0" fillId="0" borderId="0" xfId="0" applyNumberFormat="1"/>
    <xf numFmtId="2" fontId="0" fillId="0" borderId="0" xfId="0" applyNumberFormat="1"/>
    <xf numFmtId="170" fontId="0" fillId="0" borderId="0" xfId="0" applyNumberFormat="1"/>
    <xf numFmtId="0" fontId="0" fillId="4" borderId="1" xfId="0" applyFill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0" fillId="4" borderId="9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Fill="1" applyBorder="1"/>
    <xf numFmtId="0" fontId="0" fillId="0" borderId="9" xfId="0" applyFill="1" applyBorder="1" applyAlignment="1">
      <alignment horizontal="center"/>
    </xf>
    <xf numFmtId="0" fontId="0" fillId="5" borderId="0" xfId="0" applyFill="1"/>
    <xf numFmtId="0" fontId="0" fillId="5" borderId="0" xfId="0" applyFill="1" applyBorder="1"/>
    <xf numFmtId="169" fontId="0" fillId="6" borderId="0" xfId="0" applyNumberFormat="1" applyFill="1"/>
    <xf numFmtId="0" fontId="0" fillId="0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0" fontId="19" fillId="8" borderId="9" xfId="0" applyFont="1" applyFill="1" applyBorder="1" applyAlignment="1">
      <alignment horizontal="center"/>
    </xf>
    <xf numFmtId="0" fontId="19" fillId="0" borderId="9" xfId="0" applyFont="1" applyFill="1" applyBorder="1"/>
    <xf numFmtId="0" fontId="19" fillId="0" borderId="1" xfId="0" applyFont="1" applyBorder="1"/>
    <xf numFmtId="0" fontId="20" fillId="9" borderId="9" xfId="0" applyFont="1" applyFill="1" applyBorder="1"/>
    <xf numFmtId="0" fontId="20" fillId="9" borderId="9" xfId="0" applyFont="1" applyFill="1" applyBorder="1" applyAlignment="1">
      <alignment horizontal="center"/>
    </xf>
    <xf numFmtId="168" fontId="0" fillId="2" borderId="11" xfId="0" applyNumberFormat="1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168" fontId="0" fillId="10" borderId="0" xfId="0" applyNumberFormat="1" applyFill="1"/>
    <xf numFmtId="0" fontId="0" fillId="11" borderId="1" xfId="0" applyFill="1" applyBorder="1"/>
    <xf numFmtId="168" fontId="0" fillId="11" borderId="1" xfId="0" applyNumberFormat="1" applyFill="1" applyBorder="1"/>
    <xf numFmtId="0" fontId="0" fillId="11" borderId="10" xfId="0" applyFill="1" applyBorder="1"/>
    <xf numFmtId="168" fontId="0" fillId="11" borderId="10" xfId="0" applyNumberFormat="1" applyFill="1" applyBorder="1"/>
    <xf numFmtId="168" fontId="0" fillId="0" borderId="12" xfId="0" applyNumberFormat="1" applyBorder="1"/>
    <xf numFmtId="168" fontId="0" fillId="0" borderId="13" xfId="0" applyNumberFormat="1" applyBorder="1"/>
    <xf numFmtId="0" fontId="0" fillId="0" borderId="14" xfId="0" applyBorder="1"/>
    <xf numFmtId="0" fontId="0" fillId="11" borderId="16" xfId="0" applyFill="1" applyBorder="1"/>
    <xf numFmtId="0" fontId="0" fillId="11" borderId="5" xfId="0" applyFill="1" applyBorder="1"/>
    <xf numFmtId="168" fontId="0" fillId="0" borderId="6" xfId="0" applyNumberFormat="1" applyBorder="1"/>
    <xf numFmtId="168" fontId="0" fillId="0" borderId="7" xfId="0" applyNumberFormat="1" applyBorder="1"/>
    <xf numFmtId="168" fontId="0" fillId="6" borderId="15" xfId="0" applyNumberFormat="1" applyFill="1" applyBorder="1"/>
    <xf numFmtId="0" fontId="0" fillId="11" borderId="17" xfId="0" applyFill="1" applyBorder="1"/>
    <xf numFmtId="169" fontId="0" fillId="0" borderId="13" xfId="0" applyNumberFormat="1" applyBorder="1"/>
    <xf numFmtId="168" fontId="0" fillId="0" borderId="14" xfId="0" applyNumberFormat="1" applyBorder="1"/>
    <xf numFmtId="169" fontId="0" fillId="0" borderId="15" xfId="0" applyNumberFormat="1" applyBorder="1"/>
    <xf numFmtId="0" fontId="0" fillId="12" borderId="1" xfId="0" applyFill="1" applyBorder="1"/>
    <xf numFmtId="1" fontId="0" fillId="11" borderId="0" xfId="0" applyNumberFormat="1" applyFill="1" applyBorder="1"/>
  </cellXfs>
  <cellStyles count="135">
    <cellStyle name="[StdExit()]" xfId="11" xr:uid="{00000000-0005-0000-0000-000000000000}"/>
    <cellStyle name="boczek 1 - angielski" xfId="21" xr:uid="{00000000-0005-0000-0000-000001000000}"/>
    <cellStyle name="boczek 1 - polski" xfId="22" xr:uid="{00000000-0005-0000-0000-000002000000}"/>
    <cellStyle name="boczek 1 - polski 2" xfId="71" xr:uid="{00000000-0005-0000-0000-000003000000}"/>
    <cellStyle name="boczek 2 - angielski" xfId="23" xr:uid="{00000000-0005-0000-0000-000004000000}"/>
    <cellStyle name="boczek 2 - polski" xfId="24" xr:uid="{00000000-0005-0000-0000-000005000000}"/>
    <cellStyle name="boczek 3 - angielski" xfId="25" xr:uid="{00000000-0005-0000-0000-000006000000}"/>
    <cellStyle name="boczek 3 - polski" xfId="26" xr:uid="{00000000-0005-0000-0000-000007000000}"/>
    <cellStyle name="boczek 3 - polski 2" xfId="72" xr:uid="{00000000-0005-0000-0000-000008000000}"/>
    <cellStyle name="boczek 3 - polski 2 2" xfId="27" xr:uid="{00000000-0005-0000-0000-000009000000}"/>
    <cellStyle name="boczek 3 - polski 2 2 2" xfId="73" xr:uid="{00000000-0005-0000-0000-00000A000000}"/>
    <cellStyle name="Dziesiętny 2" xfId="8" xr:uid="{00000000-0005-0000-0000-000041000000}"/>
    <cellStyle name="Główka polska" xfId="28" xr:uid="{00000000-0005-0000-0000-00000C000000}"/>
    <cellStyle name="Główka polska 2" xfId="29" xr:uid="{00000000-0005-0000-0000-00000D000000}"/>
    <cellStyle name="Główka polska 2 2" xfId="30" xr:uid="{00000000-0005-0000-0000-00000E000000}"/>
    <cellStyle name="Główka polska 2 2 2" xfId="60" xr:uid="{00000000-0005-0000-0000-00000F000000}"/>
    <cellStyle name="Główka polska 2 3" xfId="59" xr:uid="{00000000-0005-0000-0000-000010000000}"/>
    <cellStyle name="Główka polska 3" xfId="58" xr:uid="{00000000-0005-0000-0000-000011000000}"/>
    <cellStyle name="Główka polska_07 wynagrodzenia" xfId="31" xr:uid="{00000000-0005-0000-0000-000012000000}"/>
    <cellStyle name="Hiperłącze 2" xfId="5" xr:uid="{00000000-0005-0000-0000-000001000000}"/>
    <cellStyle name="Hiperłącze 2 2" xfId="32" xr:uid="{00000000-0005-0000-0000-000014000000}"/>
    <cellStyle name="Hiperłącze 3" xfId="61" xr:uid="{00000000-0005-0000-0000-000015000000}"/>
    <cellStyle name="Hiperłącze 4" xfId="69" xr:uid="{00000000-0005-0000-0000-000016000000}"/>
    <cellStyle name="Hiperłącze 5" xfId="18" xr:uid="{00000000-0005-0000-0000-000017000000}"/>
    <cellStyle name="Hiperłącze 6" xfId="9" xr:uid="{00000000-0005-0000-0000-000049000000}"/>
    <cellStyle name="liczby w tablicy bez gwiazdki" xfId="33" xr:uid="{00000000-0005-0000-0000-000018000000}"/>
    <cellStyle name="liczby w tablicy z gwiazdką" xfId="34" xr:uid="{00000000-0005-0000-0000-000019000000}"/>
    <cellStyle name="Normal" xfId="2" xr:uid="{00000000-0005-0000-0000-000002000000}"/>
    <cellStyle name="Normalny" xfId="0" builtinId="0"/>
    <cellStyle name="Normalny 10" xfId="7" xr:uid="{00000000-0005-0000-0000-000050000000}"/>
    <cellStyle name="Normalny 2" xfId="3" xr:uid="{00000000-0005-0000-0000-000004000000}"/>
    <cellStyle name="Normalny 2 2" xfId="15" xr:uid="{00000000-0005-0000-0000-00001C000000}"/>
    <cellStyle name="Normalny 2 2 2" xfId="36" xr:uid="{00000000-0005-0000-0000-00001D000000}"/>
    <cellStyle name="Normalny 2 2 3" xfId="67" xr:uid="{00000000-0005-0000-0000-00001E000000}"/>
    <cellStyle name="Normalny 2 3" xfId="37" xr:uid="{00000000-0005-0000-0000-00001F000000}"/>
    <cellStyle name="Normalny 2 3 10" xfId="122" xr:uid="{00000000-0005-0000-0000-000020000000}"/>
    <cellStyle name="Normalny 2 3 2" xfId="75" xr:uid="{00000000-0005-0000-0000-000021000000}"/>
    <cellStyle name="Normalny 2 3 2 2" xfId="93" xr:uid="{00000000-0005-0000-0000-000022000000}"/>
    <cellStyle name="Normalny 2 3 2 3" xfId="108" xr:uid="{00000000-0005-0000-0000-000023000000}"/>
    <cellStyle name="Normalny 2 3 2 4" xfId="126" xr:uid="{00000000-0005-0000-0000-000024000000}"/>
    <cellStyle name="Normalny 2 3 3" xfId="82" xr:uid="{00000000-0005-0000-0000-000025000000}"/>
    <cellStyle name="Normalny 2 3 3 2" xfId="96" xr:uid="{00000000-0005-0000-0000-000026000000}"/>
    <cellStyle name="Normalny 2 3 3 3" xfId="111" xr:uid="{00000000-0005-0000-0000-000027000000}"/>
    <cellStyle name="Normalny 2 3 3 4" xfId="129" xr:uid="{00000000-0005-0000-0000-000028000000}"/>
    <cellStyle name="Normalny 2 3 4" xfId="86" xr:uid="{00000000-0005-0000-0000-000029000000}"/>
    <cellStyle name="Normalny 2 3 4 2" xfId="100" xr:uid="{00000000-0005-0000-0000-00002A000000}"/>
    <cellStyle name="Normalny 2 3 4 3" xfId="115" xr:uid="{00000000-0005-0000-0000-00002B000000}"/>
    <cellStyle name="Normalny 2 3 4 4" xfId="133" xr:uid="{00000000-0005-0000-0000-00002C000000}"/>
    <cellStyle name="Normalny 2 3 5" xfId="89" xr:uid="{00000000-0005-0000-0000-00002D000000}"/>
    <cellStyle name="Normalny 2 3 6" xfId="104" xr:uid="{00000000-0005-0000-0000-00002E000000}"/>
    <cellStyle name="Normalny 2 3 7" xfId="117" xr:uid="{00000000-0005-0000-0000-00002F000000}"/>
    <cellStyle name="Normalny 2 3 8" xfId="118" xr:uid="{00000000-0005-0000-0000-000030000000}"/>
    <cellStyle name="Normalny 2 3 9" xfId="120" xr:uid="{00000000-0005-0000-0000-000031000000}"/>
    <cellStyle name="Normalny 2 4" xfId="38" xr:uid="{00000000-0005-0000-0000-000032000000}"/>
    <cellStyle name="Normalny 2 5" xfId="39" xr:uid="{00000000-0005-0000-0000-000033000000}"/>
    <cellStyle name="Normalny 2 6" xfId="35" xr:uid="{00000000-0005-0000-0000-000034000000}"/>
    <cellStyle name="Normalny 2 6 2" xfId="74" xr:uid="{00000000-0005-0000-0000-000035000000}"/>
    <cellStyle name="Normalny 2 6 2 2" xfId="92" xr:uid="{00000000-0005-0000-0000-000036000000}"/>
    <cellStyle name="Normalny 2 6 2 3" xfId="107" xr:uid="{00000000-0005-0000-0000-000037000000}"/>
    <cellStyle name="Normalny 2 6 2 4" xfId="125" xr:uid="{00000000-0005-0000-0000-000038000000}"/>
    <cellStyle name="Normalny 2 6 3" xfId="85" xr:uid="{00000000-0005-0000-0000-000039000000}"/>
    <cellStyle name="Normalny 2 6 3 2" xfId="99" xr:uid="{00000000-0005-0000-0000-00003A000000}"/>
    <cellStyle name="Normalny 2 6 3 3" xfId="114" xr:uid="{00000000-0005-0000-0000-00003B000000}"/>
    <cellStyle name="Normalny 2 6 3 4" xfId="132" xr:uid="{00000000-0005-0000-0000-00003C000000}"/>
    <cellStyle name="Normalny 2 6 4" xfId="88" xr:uid="{00000000-0005-0000-0000-00003D000000}"/>
    <cellStyle name="Normalny 2 6 5" xfId="103" xr:uid="{00000000-0005-0000-0000-00003E000000}"/>
    <cellStyle name="Normalny 2 6 6" xfId="121" xr:uid="{00000000-0005-0000-0000-00003F000000}"/>
    <cellStyle name="Normalny 2 7" xfId="81" xr:uid="{00000000-0005-0000-0000-000040000000}"/>
    <cellStyle name="Normalny 2 7 2" xfId="95" xr:uid="{00000000-0005-0000-0000-000041000000}"/>
    <cellStyle name="Normalny 2 7 3" xfId="110" xr:uid="{00000000-0005-0000-0000-000042000000}"/>
    <cellStyle name="Normalny 2 7 4" xfId="128" xr:uid="{00000000-0005-0000-0000-000043000000}"/>
    <cellStyle name="Normalny 2 8" xfId="12" xr:uid="{00000000-0005-0000-0000-00001B000000}"/>
    <cellStyle name="Normalny 3" xfId="4" xr:uid="{00000000-0005-0000-0000-000005000000}"/>
    <cellStyle name="Normalny 3 2" xfId="16" xr:uid="{00000000-0005-0000-0000-000045000000}"/>
    <cellStyle name="Normalny 3 2 2" xfId="41" xr:uid="{00000000-0005-0000-0000-000046000000}"/>
    <cellStyle name="Normalny 3 2 3" xfId="53" xr:uid="{00000000-0005-0000-0000-000047000000}"/>
    <cellStyle name="Normalny 3 2 3 2" xfId="78" xr:uid="{00000000-0005-0000-0000-000048000000}"/>
    <cellStyle name="Normalny 3 2 4" xfId="62" xr:uid="{00000000-0005-0000-0000-000049000000}"/>
    <cellStyle name="Normalny 3 3" xfId="40" xr:uid="{00000000-0005-0000-0000-00004A000000}"/>
    <cellStyle name="Normalny 3 4" xfId="68" xr:uid="{00000000-0005-0000-0000-00004B000000}"/>
    <cellStyle name="Normalny 3 5" xfId="13" xr:uid="{00000000-0005-0000-0000-000044000000}"/>
    <cellStyle name="Normalny 4" xfId="6" xr:uid="{00000000-0005-0000-0000-000006000000}"/>
    <cellStyle name="Normalny 4 2" xfId="42" xr:uid="{00000000-0005-0000-0000-00004D000000}"/>
    <cellStyle name="Normalny 4 2 2" xfId="76" xr:uid="{00000000-0005-0000-0000-00004E000000}"/>
    <cellStyle name="Normalny 4 3" xfId="57" xr:uid="{00000000-0005-0000-0000-00004F000000}"/>
    <cellStyle name="Normalny 4 4" xfId="14" xr:uid="{00000000-0005-0000-0000-00004C000000}"/>
    <cellStyle name="Normalny 5" xfId="1" xr:uid="{00000000-0005-0000-0000-000032000000}"/>
    <cellStyle name="Normalny 5 2" xfId="55" xr:uid="{00000000-0005-0000-0000-000051000000}"/>
    <cellStyle name="Normalny 5 2 2" xfId="80" xr:uid="{00000000-0005-0000-0000-000052000000}"/>
    <cellStyle name="Normalny 5 3" xfId="64" xr:uid="{00000000-0005-0000-0000-000053000000}"/>
    <cellStyle name="Normalny 5 4" xfId="119" xr:uid="{00000000-0005-0000-0000-000054000000}"/>
    <cellStyle name="Normalny 6" xfId="20" xr:uid="{00000000-0005-0000-0000-000055000000}"/>
    <cellStyle name="Normalny 6 2" xfId="65" xr:uid="{00000000-0005-0000-0000-000056000000}"/>
    <cellStyle name="Normalny 6 3" xfId="70" xr:uid="{00000000-0005-0000-0000-000057000000}"/>
    <cellStyle name="Normalny 7" xfId="56" xr:uid="{00000000-0005-0000-0000-000058000000}"/>
    <cellStyle name="Normalny 8" xfId="66" xr:uid="{00000000-0005-0000-0000-000059000000}"/>
    <cellStyle name="Normalny 8 2" xfId="84" xr:uid="{00000000-0005-0000-0000-00005A000000}"/>
    <cellStyle name="Normalny 8 2 2" xfId="98" xr:uid="{00000000-0005-0000-0000-00005B000000}"/>
    <cellStyle name="Normalny 8 2 3" xfId="113" xr:uid="{00000000-0005-0000-0000-00005C000000}"/>
    <cellStyle name="Normalny 8 2 4" xfId="131" xr:uid="{00000000-0005-0000-0000-00005D000000}"/>
    <cellStyle name="Normalny 8 3" xfId="91" xr:uid="{00000000-0005-0000-0000-00005E000000}"/>
    <cellStyle name="Normalny 8 4" xfId="106" xr:uid="{00000000-0005-0000-0000-00005F000000}"/>
    <cellStyle name="Normalny 8 5" xfId="124" xr:uid="{00000000-0005-0000-0000-000060000000}"/>
    <cellStyle name="Normalny 9" xfId="10" xr:uid="{00000000-0005-0000-0000-000061000000}"/>
    <cellStyle name="Notka - angielska" xfId="43" xr:uid="{00000000-0005-0000-0000-000062000000}"/>
    <cellStyle name="Notka - polska" xfId="44" xr:uid="{00000000-0005-0000-0000-000063000000}"/>
    <cellStyle name="Procentowy 2" xfId="17" xr:uid="{00000000-0005-0000-0000-000064000000}"/>
    <cellStyle name="Procentowy 3" xfId="19" xr:uid="{00000000-0005-0000-0000-000065000000}"/>
    <cellStyle name="Procentowy 3 2" xfId="54" xr:uid="{00000000-0005-0000-0000-000066000000}"/>
    <cellStyle name="Procentowy 3 2 2" xfId="79" xr:uid="{00000000-0005-0000-0000-000067000000}"/>
    <cellStyle name="Procentowy 3 3" xfId="63" xr:uid="{00000000-0005-0000-0000-000068000000}"/>
    <cellStyle name="Procentowy 4" xfId="102" xr:uid="{00000000-0005-0000-0000-000069000000}"/>
    <cellStyle name="Stan w dniu - angielski" xfId="45" xr:uid="{00000000-0005-0000-0000-00006A000000}"/>
    <cellStyle name="Stan w dniu - polski" xfId="46" xr:uid="{00000000-0005-0000-0000-00006B000000}"/>
    <cellStyle name="Tytuł tablicy - polski" xfId="47" xr:uid="{00000000-0005-0000-0000-00006C000000}"/>
    <cellStyle name="Tytuł tablicy - polski 2" xfId="48" xr:uid="{00000000-0005-0000-0000-00006D000000}"/>
    <cellStyle name="Tytuł tablicy - polski 2 2" xfId="49" xr:uid="{00000000-0005-0000-0000-00006E000000}"/>
    <cellStyle name="Tytuł tablicy - polski_07 wynagrodzenia" xfId="50" xr:uid="{00000000-0005-0000-0000-00006F000000}"/>
    <cellStyle name="Tytuł tablicy angielski" xfId="51" xr:uid="{00000000-0005-0000-0000-000070000000}"/>
    <cellStyle name="Uwaga 2" xfId="52" xr:uid="{00000000-0005-0000-0000-000071000000}"/>
    <cellStyle name="Uwaga 2 2" xfId="77" xr:uid="{00000000-0005-0000-0000-000072000000}"/>
    <cellStyle name="Uwaga 2 2 2" xfId="94" xr:uid="{00000000-0005-0000-0000-000073000000}"/>
    <cellStyle name="Uwaga 2 2 3" xfId="109" xr:uid="{00000000-0005-0000-0000-000074000000}"/>
    <cellStyle name="Uwaga 2 2 4" xfId="127" xr:uid="{00000000-0005-0000-0000-000075000000}"/>
    <cellStyle name="Uwaga 2 3" xfId="83" xr:uid="{00000000-0005-0000-0000-000076000000}"/>
    <cellStyle name="Uwaga 2 3 2" xfId="97" xr:uid="{00000000-0005-0000-0000-000077000000}"/>
    <cellStyle name="Uwaga 2 3 3" xfId="112" xr:uid="{00000000-0005-0000-0000-000078000000}"/>
    <cellStyle name="Uwaga 2 3 4" xfId="130" xr:uid="{00000000-0005-0000-0000-000079000000}"/>
    <cellStyle name="Uwaga 2 4" xfId="87" xr:uid="{00000000-0005-0000-0000-00007A000000}"/>
    <cellStyle name="Uwaga 2 4 2" xfId="101" xr:uid="{00000000-0005-0000-0000-00007B000000}"/>
    <cellStyle name="Uwaga 2 4 3" xfId="116" xr:uid="{00000000-0005-0000-0000-00007C000000}"/>
    <cellStyle name="Uwaga 2 4 4" xfId="134" xr:uid="{00000000-0005-0000-0000-00007D000000}"/>
    <cellStyle name="Uwaga 2 5" xfId="90" xr:uid="{00000000-0005-0000-0000-00007E000000}"/>
    <cellStyle name="Uwaga 2 6" xfId="105" xr:uid="{00000000-0005-0000-0000-00007F000000}"/>
    <cellStyle name="Uwaga 2 7" xfId="123" xr:uid="{00000000-0005-0000-0000-000080000000}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8BDF-36CA-4B36-A258-1E2779A48EEF}">
  <dimension ref="A1:T263"/>
  <sheetViews>
    <sheetView tabSelected="1" zoomScale="85" zoomScaleNormal="85" workbookViewId="0">
      <selection activeCell="E27" sqref="E27"/>
    </sheetView>
  </sheetViews>
  <sheetFormatPr defaultRowHeight="14.25"/>
  <cols>
    <col min="1" max="1" width="19" customWidth="1"/>
    <col min="2" max="13" width="9.46484375" bestFit="1" customWidth="1"/>
    <col min="17" max="17" width="18.46484375" bestFit="1" customWidth="1"/>
  </cols>
  <sheetData>
    <row r="1" spans="1:20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20">
      <c r="A2" s="1" t="s">
        <v>12</v>
      </c>
      <c r="B2" s="3">
        <v>86.4</v>
      </c>
      <c r="C2" s="3">
        <v>8.9</v>
      </c>
      <c r="D2" s="3">
        <v>45.7</v>
      </c>
      <c r="E2" s="3">
        <v>3.5</v>
      </c>
      <c r="F2" s="3">
        <v>7.9</v>
      </c>
      <c r="G2" s="3">
        <v>19</v>
      </c>
      <c r="H2" s="3">
        <v>43.4</v>
      </c>
      <c r="I2" s="3">
        <v>65.3</v>
      </c>
      <c r="J2" s="3">
        <v>28.9</v>
      </c>
      <c r="K2" s="3">
        <v>39</v>
      </c>
      <c r="L2" s="3">
        <v>58.8</v>
      </c>
      <c r="M2" s="3">
        <v>70</v>
      </c>
    </row>
    <row r="3" spans="1:20">
      <c r="A3" s="1" t="s">
        <v>13</v>
      </c>
      <c r="B3" s="3">
        <v>47.5</v>
      </c>
      <c r="C3" s="3">
        <v>6.7</v>
      </c>
      <c r="D3" s="3">
        <v>26.4</v>
      </c>
      <c r="E3" s="3">
        <v>4.3</v>
      </c>
      <c r="F3" s="3">
        <v>5.8</v>
      </c>
      <c r="G3" s="3">
        <v>19</v>
      </c>
      <c r="H3" s="3">
        <v>30.8</v>
      </c>
      <c r="I3" s="3">
        <v>74.3</v>
      </c>
      <c r="J3" s="3">
        <v>35.5</v>
      </c>
      <c r="K3" s="3">
        <v>50</v>
      </c>
      <c r="L3" s="3">
        <v>50.5</v>
      </c>
      <c r="M3" s="3">
        <v>68</v>
      </c>
    </row>
    <row r="4" spans="1:20">
      <c r="A4" s="1" t="s">
        <v>14</v>
      </c>
      <c r="B4" s="3">
        <v>43.3</v>
      </c>
      <c r="C4" s="3">
        <v>4.4000000000000004</v>
      </c>
      <c r="D4" s="3">
        <v>51.5</v>
      </c>
      <c r="E4" s="3">
        <v>4.8</v>
      </c>
      <c r="F4" s="3">
        <v>7.4</v>
      </c>
      <c r="G4" s="3">
        <v>20</v>
      </c>
      <c r="H4" s="3">
        <v>37.1</v>
      </c>
      <c r="I4" s="3">
        <v>80.099999999999994</v>
      </c>
      <c r="J4" s="3">
        <v>28.7</v>
      </c>
      <c r="K4" s="3">
        <v>43</v>
      </c>
      <c r="L4" s="3">
        <v>50.7</v>
      </c>
      <c r="M4" s="3">
        <v>68.400000000000006</v>
      </c>
      <c r="R4" t="s">
        <v>58</v>
      </c>
      <c r="S4" t="s">
        <v>68</v>
      </c>
      <c r="T4" t="s">
        <v>75</v>
      </c>
    </row>
    <row r="5" spans="1:20">
      <c r="A5" s="1" t="s">
        <v>15</v>
      </c>
      <c r="B5" s="3">
        <v>50.4</v>
      </c>
      <c r="C5" s="3">
        <v>6.5</v>
      </c>
      <c r="D5" s="3">
        <v>84.8</v>
      </c>
      <c r="E5" s="3">
        <v>3.7</v>
      </c>
      <c r="F5" s="3">
        <v>5.8</v>
      </c>
      <c r="G5" s="3">
        <v>24</v>
      </c>
      <c r="H5" s="3">
        <v>23.5</v>
      </c>
      <c r="I5" s="3">
        <v>72.2</v>
      </c>
      <c r="J5" s="3">
        <v>45.8</v>
      </c>
      <c r="K5" s="3">
        <v>35</v>
      </c>
      <c r="L5" s="3">
        <v>50.2</v>
      </c>
      <c r="M5" s="3">
        <v>74.3</v>
      </c>
      <c r="Q5" s="1" t="s">
        <v>18</v>
      </c>
      <c r="R5">
        <v>1</v>
      </c>
      <c r="S5">
        <v>1</v>
      </c>
      <c r="T5">
        <v>1</v>
      </c>
    </row>
    <row r="6" spans="1:20">
      <c r="A6" s="1" t="s">
        <v>16</v>
      </c>
      <c r="B6" s="3">
        <v>49.4</v>
      </c>
      <c r="C6" s="3">
        <v>5.9</v>
      </c>
      <c r="D6" s="3">
        <v>49.2</v>
      </c>
      <c r="E6" s="3">
        <v>3.5</v>
      </c>
      <c r="F6" s="3">
        <v>4.9000000000000004</v>
      </c>
      <c r="G6" s="3">
        <v>21</v>
      </c>
      <c r="H6" s="3">
        <v>37.4</v>
      </c>
      <c r="I6" s="3">
        <v>70.099999999999994</v>
      </c>
      <c r="J6" s="3">
        <v>25.9</v>
      </c>
      <c r="K6" s="3">
        <v>40</v>
      </c>
      <c r="L6" s="3">
        <v>53.3</v>
      </c>
      <c r="M6" s="3">
        <v>69.8</v>
      </c>
      <c r="Q6" s="1" t="s">
        <v>17</v>
      </c>
      <c r="R6">
        <v>2</v>
      </c>
      <c r="S6">
        <v>5</v>
      </c>
      <c r="T6">
        <v>2</v>
      </c>
    </row>
    <row r="7" spans="1:20">
      <c r="A7" s="1" t="s">
        <v>17</v>
      </c>
      <c r="B7" s="3">
        <v>64.3</v>
      </c>
      <c r="C7" s="3">
        <v>7.1</v>
      </c>
      <c r="D7" s="3">
        <v>28.9</v>
      </c>
      <c r="E7" s="3">
        <v>3</v>
      </c>
      <c r="F7" s="3">
        <v>4.8</v>
      </c>
      <c r="G7" s="3">
        <v>22</v>
      </c>
      <c r="H7" s="3">
        <v>47</v>
      </c>
      <c r="I7" s="3">
        <v>75.8</v>
      </c>
      <c r="J7" s="3">
        <v>29.9</v>
      </c>
      <c r="K7" s="3">
        <v>28</v>
      </c>
      <c r="L7" s="3">
        <v>56.7</v>
      </c>
      <c r="M7" s="3">
        <v>63.5</v>
      </c>
      <c r="Q7" s="1" t="s">
        <v>12</v>
      </c>
      <c r="R7">
        <v>3</v>
      </c>
      <c r="S7">
        <v>2</v>
      </c>
      <c r="T7">
        <v>3</v>
      </c>
    </row>
    <row r="8" spans="1:20">
      <c r="A8" s="1" t="s">
        <v>18</v>
      </c>
      <c r="B8" s="3">
        <v>81.8</v>
      </c>
      <c r="C8" s="3">
        <v>4.8</v>
      </c>
      <c r="D8" s="3">
        <v>49.7</v>
      </c>
      <c r="E8" s="3">
        <v>3.2</v>
      </c>
      <c r="F8" s="3">
        <v>2.9</v>
      </c>
      <c r="G8" s="3">
        <v>21</v>
      </c>
      <c r="H8" s="3">
        <v>52.9</v>
      </c>
      <c r="I8" s="3">
        <v>63.6</v>
      </c>
      <c r="J8" s="3">
        <v>23.8</v>
      </c>
      <c r="K8" s="3">
        <v>31</v>
      </c>
      <c r="L8" s="3">
        <v>67.400000000000006</v>
      </c>
      <c r="M8" s="3">
        <v>74.2</v>
      </c>
      <c r="Q8" s="1" t="s">
        <v>26</v>
      </c>
      <c r="R8">
        <v>4</v>
      </c>
      <c r="S8">
        <v>9</v>
      </c>
      <c r="T8">
        <v>7</v>
      </c>
    </row>
    <row r="9" spans="1:20">
      <c r="A9" s="1" t="s">
        <v>19</v>
      </c>
      <c r="B9" s="3">
        <v>34.9</v>
      </c>
      <c r="C9" s="3">
        <v>8.3000000000000007</v>
      </c>
      <c r="D9" s="3">
        <v>84.8</v>
      </c>
      <c r="E9" s="3">
        <v>3.5</v>
      </c>
      <c r="F9" s="3">
        <v>6.6</v>
      </c>
      <c r="G9" s="3">
        <v>19</v>
      </c>
      <c r="H9" s="3">
        <v>26.8</v>
      </c>
      <c r="I9" s="3">
        <v>70.2</v>
      </c>
      <c r="J9" s="3">
        <v>42.5</v>
      </c>
      <c r="K9" s="3">
        <v>24</v>
      </c>
      <c r="L9" s="3">
        <v>52.1</v>
      </c>
      <c r="M9" s="3">
        <v>73.5</v>
      </c>
      <c r="Q9" s="1" t="s">
        <v>16</v>
      </c>
      <c r="R9">
        <v>5</v>
      </c>
      <c r="S9">
        <v>8</v>
      </c>
      <c r="T9">
        <v>8</v>
      </c>
    </row>
    <row r="10" spans="1:20">
      <c r="A10" s="1" t="s">
        <v>20</v>
      </c>
      <c r="B10" s="3">
        <v>46.7</v>
      </c>
      <c r="C10" s="3">
        <v>5.5</v>
      </c>
      <c r="D10" s="3">
        <v>34.299999999999997</v>
      </c>
      <c r="E10" s="3">
        <v>5.3</v>
      </c>
      <c r="F10" s="3">
        <v>6.6</v>
      </c>
      <c r="G10" s="3">
        <v>21</v>
      </c>
      <c r="H10" s="3">
        <v>27.2</v>
      </c>
      <c r="I10" s="3">
        <v>75.3</v>
      </c>
      <c r="J10" s="3">
        <v>40</v>
      </c>
      <c r="K10" s="3">
        <v>39</v>
      </c>
      <c r="L10" s="3">
        <v>49.6</v>
      </c>
      <c r="M10" s="3">
        <v>62</v>
      </c>
      <c r="Q10" s="1" t="s">
        <v>22</v>
      </c>
      <c r="R10">
        <v>6</v>
      </c>
      <c r="S10">
        <v>6</v>
      </c>
      <c r="T10">
        <v>5</v>
      </c>
    </row>
    <row r="11" spans="1:20">
      <c r="A11" s="1" t="s">
        <v>21</v>
      </c>
      <c r="B11" s="3">
        <v>65.900000000000006</v>
      </c>
      <c r="C11" s="3">
        <v>3.8</v>
      </c>
      <c r="D11" s="3">
        <v>84.9</v>
      </c>
      <c r="E11" s="3">
        <v>4.0999999999999996</v>
      </c>
      <c r="F11" s="3">
        <v>3.9</v>
      </c>
      <c r="G11" s="3">
        <v>20</v>
      </c>
      <c r="H11" s="3">
        <v>33.299999999999997</v>
      </c>
      <c r="I11" s="3">
        <v>76.7</v>
      </c>
      <c r="J11" s="3">
        <v>27.9</v>
      </c>
      <c r="K11" s="3">
        <v>39</v>
      </c>
      <c r="L11" s="3">
        <v>51.5</v>
      </c>
      <c r="M11" s="3">
        <v>60</v>
      </c>
      <c r="Q11" s="1" t="s">
        <v>21</v>
      </c>
      <c r="R11">
        <v>7</v>
      </c>
      <c r="S11">
        <v>3</v>
      </c>
      <c r="T11">
        <v>4</v>
      </c>
    </row>
    <row r="12" spans="1:20">
      <c r="A12" s="1" t="s">
        <v>22</v>
      </c>
      <c r="B12" s="3">
        <v>92.7</v>
      </c>
      <c r="C12" s="3">
        <v>6.6</v>
      </c>
      <c r="D12" s="3">
        <v>53.4</v>
      </c>
      <c r="E12" s="3">
        <v>3.4</v>
      </c>
      <c r="F12" s="3">
        <v>6.6</v>
      </c>
      <c r="G12" s="3">
        <v>23</v>
      </c>
      <c r="H12" s="3">
        <v>32.799999999999997</v>
      </c>
      <c r="I12" s="3">
        <v>62.5</v>
      </c>
      <c r="J12" s="3">
        <v>30.9</v>
      </c>
      <c r="K12" s="3">
        <v>46</v>
      </c>
      <c r="L12" s="3">
        <v>56.2</v>
      </c>
      <c r="M12" s="3">
        <v>66</v>
      </c>
      <c r="Q12" s="1" t="s">
        <v>19</v>
      </c>
      <c r="R12">
        <v>8</v>
      </c>
      <c r="S12">
        <v>4</v>
      </c>
      <c r="T12">
        <v>6</v>
      </c>
    </row>
    <row r="13" spans="1:20">
      <c r="A13" s="1" t="s">
        <v>23</v>
      </c>
      <c r="B13" s="3">
        <v>37.799999999999997</v>
      </c>
      <c r="C13" s="3">
        <v>15.2</v>
      </c>
      <c r="D13" s="3">
        <v>43.1</v>
      </c>
      <c r="E13" s="3">
        <v>3.1</v>
      </c>
      <c r="F13" s="3">
        <v>13.4</v>
      </c>
      <c r="G13" s="3">
        <v>17</v>
      </c>
      <c r="H13" s="3">
        <v>32.1</v>
      </c>
      <c r="I13" s="3">
        <v>75.3</v>
      </c>
      <c r="J13" s="3">
        <v>29.6</v>
      </c>
      <c r="K13" s="3">
        <v>48</v>
      </c>
      <c r="L13" s="3">
        <v>56.1</v>
      </c>
      <c r="M13" s="3">
        <v>65.400000000000006</v>
      </c>
      <c r="Q13" s="1" t="s">
        <v>24</v>
      </c>
      <c r="R13">
        <v>9</v>
      </c>
      <c r="S13">
        <v>11</v>
      </c>
      <c r="T13">
        <v>11</v>
      </c>
    </row>
    <row r="14" spans="1:20">
      <c r="A14" s="1" t="s">
        <v>24</v>
      </c>
      <c r="B14" s="3">
        <v>37</v>
      </c>
      <c r="C14" s="3">
        <v>6.2</v>
      </c>
      <c r="D14" s="3">
        <v>55.9</v>
      </c>
      <c r="E14" s="3">
        <v>5</v>
      </c>
      <c r="F14" s="3">
        <v>7.3</v>
      </c>
      <c r="G14" s="3">
        <v>19</v>
      </c>
      <c r="H14" s="3">
        <v>38.5</v>
      </c>
      <c r="I14" s="3">
        <v>77.5</v>
      </c>
      <c r="J14" s="3">
        <v>35</v>
      </c>
      <c r="K14" s="3">
        <v>37</v>
      </c>
      <c r="L14" s="3">
        <v>49.9</v>
      </c>
      <c r="M14" s="3">
        <v>65.5</v>
      </c>
      <c r="Q14" s="1" t="s">
        <v>15</v>
      </c>
      <c r="R14">
        <v>10</v>
      </c>
      <c r="S14">
        <v>7</v>
      </c>
      <c r="T14">
        <v>9</v>
      </c>
    </row>
    <row r="15" spans="1:20">
      <c r="A15" s="1" t="s">
        <v>25</v>
      </c>
      <c r="B15" s="3">
        <v>41.5</v>
      </c>
      <c r="C15" s="3">
        <v>4.5</v>
      </c>
      <c r="D15" s="3">
        <v>46.7</v>
      </c>
      <c r="E15" s="3">
        <v>5.0999999999999996</v>
      </c>
      <c r="F15" s="3">
        <v>4.3</v>
      </c>
      <c r="G15" s="3">
        <v>20</v>
      </c>
      <c r="H15" s="3">
        <v>28.9</v>
      </c>
      <c r="I15" s="3">
        <v>72.5</v>
      </c>
      <c r="J15" s="3">
        <v>41.7</v>
      </c>
      <c r="K15" s="3">
        <v>46</v>
      </c>
      <c r="L15" s="3">
        <v>48.8</v>
      </c>
      <c r="M15" s="3">
        <v>63.1</v>
      </c>
      <c r="Q15" s="1" t="s">
        <v>14</v>
      </c>
      <c r="R15">
        <v>11</v>
      </c>
      <c r="S15">
        <v>13</v>
      </c>
      <c r="T15">
        <v>12</v>
      </c>
    </row>
    <row r="16" spans="1:20">
      <c r="A16" s="1" t="s">
        <v>26</v>
      </c>
      <c r="B16" s="3">
        <v>77.5</v>
      </c>
      <c r="C16" s="3">
        <v>6.3</v>
      </c>
      <c r="D16" s="3">
        <v>40.4</v>
      </c>
      <c r="E16" s="3">
        <v>2.5</v>
      </c>
      <c r="F16" s="3">
        <v>7.3</v>
      </c>
      <c r="G16" s="3">
        <v>22</v>
      </c>
      <c r="H16" s="3">
        <v>38.9</v>
      </c>
      <c r="I16" s="3">
        <v>73.3</v>
      </c>
      <c r="J16" s="3">
        <v>36</v>
      </c>
      <c r="K16" s="3">
        <v>35</v>
      </c>
      <c r="L16" s="3">
        <v>51.6</v>
      </c>
      <c r="M16" s="3">
        <v>73.599999999999994</v>
      </c>
      <c r="Q16" s="1" t="s">
        <v>23</v>
      </c>
      <c r="R16">
        <v>12</v>
      </c>
      <c r="S16">
        <v>10</v>
      </c>
      <c r="T16">
        <v>10</v>
      </c>
    </row>
    <row r="17" spans="1:20">
      <c r="A17" s="1" t="s">
        <v>27</v>
      </c>
      <c r="B17" s="7">
        <v>59.9</v>
      </c>
      <c r="C17" s="7">
        <v>5.0999999999999996</v>
      </c>
      <c r="D17" s="7">
        <v>11.5</v>
      </c>
      <c r="E17" s="7">
        <v>4.3</v>
      </c>
      <c r="F17" s="7">
        <v>8.1999999999999993</v>
      </c>
      <c r="G17" s="7">
        <v>23</v>
      </c>
      <c r="H17" s="7">
        <v>36.4</v>
      </c>
      <c r="I17" s="7">
        <v>74.8</v>
      </c>
      <c r="J17" s="7">
        <v>32.5</v>
      </c>
      <c r="K17" s="7">
        <v>44</v>
      </c>
      <c r="L17" s="7">
        <v>52</v>
      </c>
      <c r="M17" s="7">
        <v>65.7</v>
      </c>
      <c r="Q17" s="1" t="s">
        <v>27</v>
      </c>
      <c r="R17">
        <v>13</v>
      </c>
      <c r="S17">
        <v>16</v>
      </c>
      <c r="T17">
        <v>15</v>
      </c>
    </row>
    <row r="18" spans="1:20">
      <c r="A18" s="8" t="s">
        <v>44</v>
      </c>
      <c r="B18" s="2" t="s">
        <v>40</v>
      </c>
      <c r="C18" s="2" t="s">
        <v>40</v>
      </c>
      <c r="D18" s="2" t="s">
        <v>40</v>
      </c>
      <c r="E18" s="2" t="s">
        <v>42</v>
      </c>
      <c r="F18" s="2" t="s">
        <v>42</v>
      </c>
      <c r="G18" s="2" t="s">
        <v>40</v>
      </c>
      <c r="H18" s="2" t="s">
        <v>40</v>
      </c>
      <c r="I18" s="2" t="s">
        <v>40</v>
      </c>
      <c r="J18" s="2" t="s">
        <v>42</v>
      </c>
      <c r="K18" s="2" t="s">
        <v>42</v>
      </c>
      <c r="L18" s="2" t="s">
        <v>40</v>
      </c>
      <c r="M18" s="2" t="s">
        <v>40</v>
      </c>
      <c r="Q18" s="1" t="s">
        <v>13</v>
      </c>
      <c r="R18">
        <v>14</v>
      </c>
      <c r="S18">
        <v>14</v>
      </c>
      <c r="T18">
        <v>13</v>
      </c>
    </row>
    <row r="19" spans="1:20">
      <c r="A19" t="s">
        <v>0</v>
      </c>
      <c r="B19" t="s">
        <v>28</v>
      </c>
      <c r="L19" s="4"/>
      <c r="M19" s="5" t="s">
        <v>40</v>
      </c>
      <c r="N19" t="s">
        <v>41</v>
      </c>
      <c r="Q19" s="1" t="s">
        <v>20</v>
      </c>
      <c r="R19">
        <v>15</v>
      </c>
      <c r="S19">
        <v>15</v>
      </c>
      <c r="T19">
        <v>16</v>
      </c>
    </row>
    <row r="20" spans="1:20">
      <c r="A20" t="s">
        <v>1</v>
      </c>
      <c r="B20" t="s">
        <v>29</v>
      </c>
      <c r="L20" s="4"/>
      <c r="M20" s="5" t="s">
        <v>40</v>
      </c>
      <c r="N20" t="s">
        <v>43</v>
      </c>
      <c r="Q20" s="1" t="s">
        <v>25</v>
      </c>
      <c r="R20">
        <v>16</v>
      </c>
      <c r="S20">
        <v>12</v>
      </c>
      <c r="T20">
        <v>14</v>
      </c>
    </row>
    <row r="21" spans="1:20">
      <c r="A21" t="s">
        <v>2</v>
      </c>
      <c r="B21" t="s">
        <v>30</v>
      </c>
      <c r="L21" s="4"/>
      <c r="M21" s="5" t="s">
        <v>40</v>
      </c>
    </row>
    <row r="22" spans="1:20">
      <c r="A22" t="s">
        <v>3</v>
      </c>
      <c r="B22" t="s">
        <v>31</v>
      </c>
      <c r="L22" s="4"/>
      <c r="M22" s="5" t="s">
        <v>42</v>
      </c>
    </row>
    <row r="23" spans="1:20">
      <c r="A23" t="s">
        <v>4</v>
      </c>
      <c r="B23" t="s">
        <v>32</v>
      </c>
      <c r="L23" s="4"/>
      <c r="M23" s="5" t="s">
        <v>42</v>
      </c>
    </row>
    <row r="24" spans="1:20">
      <c r="A24" t="s">
        <v>5</v>
      </c>
      <c r="B24" t="s">
        <v>33</v>
      </c>
      <c r="L24" s="4"/>
      <c r="M24" s="5" t="s">
        <v>40</v>
      </c>
    </row>
    <row r="25" spans="1:20">
      <c r="A25" t="s">
        <v>6</v>
      </c>
      <c r="B25" t="s">
        <v>34</v>
      </c>
      <c r="L25" s="4"/>
      <c r="M25" s="5" t="s">
        <v>40</v>
      </c>
    </row>
    <row r="26" spans="1:20">
      <c r="A26" t="s">
        <v>7</v>
      </c>
      <c r="B26" t="s">
        <v>35</v>
      </c>
      <c r="L26" s="4"/>
      <c r="M26" s="5" t="s">
        <v>40</v>
      </c>
    </row>
    <row r="27" spans="1:20">
      <c r="A27" t="s">
        <v>8</v>
      </c>
      <c r="B27" t="s">
        <v>36</v>
      </c>
      <c r="L27" s="4"/>
      <c r="M27" s="5" t="s">
        <v>42</v>
      </c>
    </row>
    <row r="28" spans="1:20">
      <c r="A28" t="s">
        <v>9</v>
      </c>
      <c r="B28" t="s">
        <v>37</v>
      </c>
      <c r="L28" s="4"/>
      <c r="M28" s="5" t="s">
        <v>42</v>
      </c>
    </row>
    <row r="29" spans="1:20">
      <c r="A29" t="s">
        <v>10</v>
      </c>
      <c r="B29" t="s">
        <v>38</v>
      </c>
      <c r="L29" s="4"/>
      <c r="M29" s="5" t="s">
        <v>40</v>
      </c>
    </row>
    <row r="30" spans="1:20" ht="14.65" thickBot="1">
      <c r="A30" t="s">
        <v>11</v>
      </c>
      <c r="B30" t="s">
        <v>39</v>
      </c>
      <c r="L30" s="4"/>
      <c r="M30" s="6" t="s">
        <v>40</v>
      </c>
    </row>
    <row r="31" spans="1:20">
      <c r="A31" t="s">
        <v>45</v>
      </c>
      <c r="B31" s="12">
        <f>SUM(B2:B17)/16</f>
        <v>57.3125</v>
      </c>
      <c r="C31" s="12">
        <f t="shared" ref="C31:M31" si="0">SUM(C2:C17)/16</f>
        <v>6.6124999999999989</v>
      </c>
      <c r="D31" s="12">
        <f t="shared" si="0"/>
        <v>49.449999999999996</v>
      </c>
      <c r="E31" s="12">
        <f t="shared" si="0"/>
        <v>3.8937499999999998</v>
      </c>
      <c r="F31" s="12">
        <f t="shared" si="0"/>
        <v>6.4812500000000002</v>
      </c>
      <c r="G31" s="12">
        <f t="shared" si="0"/>
        <v>20.625</v>
      </c>
      <c r="H31" s="12">
        <f t="shared" si="0"/>
        <v>35.4375</v>
      </c>
      <c r="I31" s="12">
        <f t="shared" si="0"/>
        <v>72.46875</v>
      </c>
      <c r="J31" s="12">
        <f t="shared" si="0"/>
        <v>33.412499999999994</v>
      </c>
      <c r="K31" s="12">
        <f t="shared" si="0"/>
        <v>39</v>
      </c>
      <c r="L31" s="12">
        <f t="shared" si="0"/>
        <v>53.462500000000006</v>
      </c>
      <c r="M31" s="12">
        <f t="shared" si="0"/>
        <v>67.6875</v>
      </c>
    </row>
    <row r="32" spans="1:20">
      <c r="A32" t="s">
        <v>46</v>
      </c>
      <c r="B32" s="12">
        <f>_xlfn.STDEV.S(B2:B17)</f>
        <v>18.790312220219576</v>
      </c>
      <c r="C32" s="12">
        <f t="shared" ref="C32:M32" si="1">_xlfn.STDEV.S(C2:C17)</f>
        <v>2.6700499371110422</v>
      </c>
      <c r="D32" s="12">
        <f t="shared" si="1"/>
        <v>20.951785922286756</v>
      </c>
      <c r="E32" s="12">
        <f t="shared" si="1"/>
        <v>0.83464064123430037</v>
      </c>
      <c r="F32" s="12">
        <f t="shared" si="1"/>
        <v>2.3883658988242682</v>
      </c>
      <c r="G32" s="12">
        <f t="shared" si="1"/>
        <v>1.857417562100671</v>
      </c>
      <c r="H32" s="12">
        <f t="shared" si="1"/>
        <v>7.7580818075947846</v>
      </c>
      <c r="I32" s="12">
        <f t="shared" si="1"/>
        <v>5.0220472253189063</v>
      </c>
      <c r="J32" s="12">
        <f t="shared" si="1"/>
        <v>6.4161125301852628</v>
      </c>
      <c r="K32" s="12">
        <f t="shared" si="1"/>
        <v>7.2479882266276707</v>
      </c>
      <c r="L32" s="12">
        <f t="shared" si="1"/>
        <v>4.7287595272615288</v>
      </c>
      <c r="M32" s="12">
        <f t="shared" si="1"/>
        <v>4.5617065520117208</v>
      </c>
    </row>
    <row r="33" spans="1:13">
      <c r="A33" t="s">
        <v>47</v>
      </c>
      <c r="B33" s="12">
        <f>(B32/B31)*100</f>
        <v>32.785713797547785</v>
      </c>
      <c r="C33" s="12">
        <f t="shared" ref="C33:M33" si="2">(C32/C31)*100</f>
        <v>40.378827026253958</v>
      </c>
      <c r="D33" s="12">
        <f t="shared" si="2"/>
        <v>42.369637861045014</v>
      </c>
      <c r="E33" s="12">
        <f t="shared" si="2"/>
        <v>21.43539367535924</v>
      </c>
      <c r="F33" s="12">
        <f t="shared" si="2"/>
        <v>36.850389952929888</v>
      </c>
      <c r="G33" s="12">
        <f t="shared" si="2"/>
        <v>9.005660907154768</v>
      </c>
      <c r="H33" s="12">
        <f t="shared" si="2"/>
        <v>21.892294342419145</v>
      </c>
      <c r="I33" s="12">
        <f t="shared" si="2"/>
        <v>6.9299487369644241</v>
      </c>
      <c r="J33" s="12">
        <f t="shared" si="2"/>
        <v>19.202731104183357</v>
      </c>
      <c r="K33" s="12">
        <f t="shared" si="2"/>
        <v>18.584585196481207</v>
      </c>
      <c r="L33" s="12">
        <f t="shared" si="2"/>
        <v>8.8450026228880585</v>
      </c>
      <c r="M33" s="12">
        <f t="shared" si="2"/>
        <v>6.7393633270717945</v>
      </c>
    </row>
    <row r="37" spans="1:13">
      <c r="A37" t="s">
        <v>48</v>
      </c>
    </row>
    <row r="39" spans="1:13">
      <c r="A39" s="1"/>
      <c r="B39" s="2" t="s">
        <v>0</v>
      </c>
      <c r="C39" s="2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</row>
    <row r="40" spans="1:13">
      <c r="A40" s="1" t="s">
        <v>12</v>
      </c>
      <c r="B40" s="13">
        <f>(B2-B$31)/B$32</f>
        <v>1.5480051453695378</v>
      </c>
      <c r="C40" s="13">
        <f t="shared" ref="C40:K40" si="3">(C2-C$31)/C$32</f>
        <v>0.85672554966333148</v>
      </c>
      <c r="D40" s="13">
        <f t="shared" si="3"/>
        <v>-0.17898235567647036</v>
      </c>
      <c r="E40" s="13">
        <f t="shared" si="3"/>
        <v>-0.47175991743908657</v>
      </c>
      <c r="F40" s="13">
        <f t="shared" si="3"/>
        <v>0.59402539648485797</v>
      </c>
      <c r="G40" s="13">
        <f t="shared" si="3"/>
        <v>-0.8748705908445189</v>
      </c>
      <c r="H40" s="13">
        <f t="shared" si="3"/>
        <v>1.0263490637859862</v>
      </c>
      <c r="I40" s="13">
        <f t="shared" si="3"/>
        <v>-1.4274557124549496</v>
      </c>
      <c r="J40" s="13">
        <f t="shared" si="3"/>
        <v>-0.70330749013058524</v>
      </c>
      <c r="K40" s="13">
        <f t="shared" si="3"/>
        <v>0</v>
      </c>
    </row>
    <row r="41" spans="1:13">
      <c r="A41" s="1" t="s">
        <v>13</v>
      </c>
      <c r="B41" s="13">
        <f t="shared" ref="B41:K41" si="4">(B3-B$31)/B$32</f>
        <v>-0.52221058836058742</v>
      </c>
      <c r="C41" s="13">
        <f t="shared" si="4"/>
        <v>3.2770922664718045E-2</v>
      </c>
      <c r="D41" s="13">
        <f t="shared" si="4"/>
        <v>-1.1001448795580397</v>
      </c>
      <c r="E41" s="13">
        <f t="shared" si="4"/>
        <v>0.48673642275461337</v>
      </c>
      <c r="F41" s="13">
        <f t="shared" si="4"/>
        <v>-0.28523686439140772</v>
      </c>
      <c r="G41" s="13">
        <f t="shared" si="4"/>
        <v>-0.8748705908445189</v>
      </c>
      <c r="H41" s="13">
        <f t="shared" si="4"/>
        <v>-0.59776374044678315</v>
      </c>
      <c r="I41" s="13">
        <f t="shared" si="4"/>
        <v>0.36464213055736655</v>
      </c>
      <c r="J41" s="13">
        <f t="shared" si="4"/>
        <v>0.3253527724426819</v>
      </c>
      <c r="K41" s="13">
        <f t="shared" si="4"/>
        <v>1.5176625093826976</v>
      </c>
    </row>
    <row r="42" spans="1:13">
      <c r="A42" s="1" t="s">
        <v>14</v>
      </c>
      <c r="B42" s="13">
        <f t="shared" ref="B42:K42" si="5">(B4-B$31)/B$32</f>
        <v>-0.74573002490728479</v>
      </c>
      <c r="C42" s="13">
        <f t="shared" si="5"/>
        <v>-0.82863618737928679</v>
      </c>
      <c r="D42" s="13">
        <f t="shared" si="5"/>
        <v>9.7843687769804191E-2</v>
      </c>
      <c r="E42" s="13">
        <f t="shared" si="5"/>
        <v>1.0857966353756758</v>
      </c>
      <c r="F42" s="13">
        <f t="shared" si="5"/>
        <v>0.38467723913336621</v>
      </c>
      <c r="G42" s="13">
        <f t="shared" si="5"/>
        <v>-0.33648868878635346</v>
      </c>
      <c r="H42" s="13">
        <f t="shared" si="5"/>
        <v>0.21429266166960173</v>
      </c>
      <c r="I42" s="13">
        <f t="shared" si="5"/>
        <v>1.5195496293875255</v>
      </c>
      <c r="J42" s="13">
        <f t="shared" si="5"/>
        <v>-0.73447901323886589</v>
      </c>
      <c r="K42" s="13">
        <f t="shared" si="5"/>
        <v>0.55187727613916282</v>
      </c>
    </row>
    <row r="43" spans="1:13">
      <c r="A43" s="1" t="s">
        <v>15</v>
      </c>
      <c r="B43" s="13">
        <f t="shared" ref="B43:K43" si="6">(B5-B$31)/B$32</f>
        <v>-0.36787573931643935</v>
      </c>
      <c r="C43" s="13">
        <f t="shared" si="6"/>
        <v>-4.2134043426065061E-2</v>
      </c>
      <c r="D43" s="13">
        <f t="shared" si="6"/>
        <v>1.6872070061768638</v>
      </c>
      <c r="E43" s="13">
        <f t="shared" si="6"/>
        <v>-0.23213583239066132</v>
      </c>
      <c r="F43" s="13">
        <f t="shared" si="6"/>
        <v>-0.28523686439140772</v>
      </c>
      <c r="G43" s="17">
        <f t="shared" si="6"/>
        <v>1.8170389194463086</v>
      </c>
      <c r="H43" s="13">
        <f t="shared" si="6"/>
        <v>-1.5387179841689436</v>
      </c>
      <c r="I43" s="13">
        <f t="shared" si="6"/>
        <v>-5.351403281217277E-2</v>
      </c>
      <c r="J43" s="13">
        <f t="shared" si="6"/>
        <v>1.9306862125191433</v>
      </c>
      <c r="K43" s="13">
        <f t="shared" si="6"/>
        <v>-0.55187727613916282</v>
      </c>
    </row>
    <row r="44" spans="1:13">
      <c r="A44" s="1" t="s">
        <v>16</v>
      </c>
      <c r="B44" s="13">
        <f t="shared" ref="B44:K44" si="7">(B6-B$31)/B$32</f>
        <v>-0.42109465277993868</v>
      </c>
      <c r="C44" s="13">
        <f t="shared" si="7"/>
        <v>-0.26684894169841405</v>
      </c>
      <c r="D44" s="13">
        <f t="shared" si="7"/>
        <v>-1.1932157045097707E-2</v>
      </c>
      <c r="E44" s="13">
        <f t="shared" si="7"/>
        <v>-0.47175991743908657</v>
      </c>
      <c r="F44" s="13">
        <f t="shared" si="7"/>
        <v>-0.6620635476240927</v>
      </c>
      <c r="G44" s="13">
        <f t="shared" si="7"/>
        <v>0.20189321327181206</v>
      </c>
      <c r="H44" s="13">
        <f t="shared" si="7"/>
        <v>0.25296201415133396</v>
      </c>
      <c r="I44" s="13">
        <f t="shared" si="7"/>
        <v>-0.47167019618171491</v>
      </c>
      <c r="J44" s="13">
        <f t="shared" si="7"/>
        <v>-1.1708803367547973</v>
      </c>
      <c r="K44" s="13">
        <f t="shared" si="7"/>
        <v>0.13796931903479071</v>
      </c>
    </row>
    <row r="45" spans="1:13">
      <c r="A45" s="1" t="s">
        <v>17</v>
      </c>
      <c r="B45" s="13">
        <f t="shared" ref="B45:K45" si="8">(B7-B$31)/B$32</f>
        <v>0.37186715782620156</v>
      </c>
      <c r="C45" s="13">
        <f t="shared" si="8"/>
        <v>0.18258085484628392</v>
      </c>
      <c r="D45" s="13">
        <f t="shared" si="8"/>
        <v>-0.98082330910705928</v>
      </c>
      <c r="E45" s="13">
        <f t="shared" si="8"/>
        <v>-1.0708201300601492</v>
      </c>
      <c r="F45" s="13">
        <f t="shared" si="8"/>
        <v>-0.70393317909439124</v>
      </c>
      <c r="G45" s="13">
        <f t="shared" si="8"/>
        <v>0.74027511532997758</v>
      </c>
      <c r="H45" s="13">
        <f t="shared" si="8"/>
        <v>1.4903812935667777</v>
      </c>
      <c r="I45" s="13">
        <f t="shared" si="8"/>
        <v>0.66332510439275261</v>
      </c>
      <c r="J45" s="13">
        <f t="shared" si="8"/>
        <v>-0.54744987458918115</v>
      </c>
      <c r="K45" s="13">
        <f t="shared" si="8"/>
        <v>-1.5176625093826976</v>
      </c>
    </row>
    <row r="46" spans="1:13">
      <c r="A46" s="1" t="s">
        <v>18</v>
      </c>
      <c r="B46" s="13">
        <f t="shared" ref="B46:K46" si="9">(B8-B$31)/B$32</f>
        <v>1.3031981434374402</v>
      </c>
      <c r="C46" s="13">
        <f t="shared" si="9"/>
        <v>-0.678826255197721</v>
      </c>
      <c r="D46" s="13">
        <f t="shared" si="9"/>
        <v>1.1932157045098386E-2</v>
      </c>
      <c r="E46" s="13">
        <f t="shared" si="9"/>
        <v>-0.83119604501172395</v>
      </c>
      <c r="F46" s="17">
        <f t="shared" si="9"/>
        <v>-1.4994561770300601</v>
      </c>
      <c r="G46" s="13">
        <f t="shared" si="9"/>
        <v>0.20189321327181206</v>
      </c>
      <c r="H46" s="13">
        <f t="shared" si="9"/>
        <v>2.250878559040852</v>
      </c>
      <c r="I46" s="13">
        <f t="shared" si="9"/>
        <v>-1.7659630828017197</v>
      </c>
      <c r="J46" s="13">
        <f t="shared" si="9"/>
        <v>-1.4981813293917456</v>
      </c>
      <c r="K46" s="13">
        <f t="shared" si="9"/>
        <v>-1.1037545522783256</v>
      </c>
    </row>
    <row r="47" spans="1:13">
      <c r="A47" s="1" t="s">
        <v>19</v>
      </c>
      <c r="B47" s="13">
        <f t="shared" ref="B47:K47" si="10">(B9-B$31)/B$32</f>
        <v>-1.1927688980006792</v>
      </c>
      <c r="C47" s="13">
        <f t="shared" si="10"/>
        <v>0.63201065139098256</v>
      </c>
      <c r="D47" s="13">
        <f t="shared" si="10"/>
        <v>1.6872070061768638</v>
      </c>
      <c r="E47" s="13">
        <f t="shared" si="10"/>
        <v>-0.47175991743908657</v>
      </c>
      <c r="F47" s="13">
        <f t="shared" si="10"/>
        <v>4.9720187370979073E-2</v>
      </c>
      <c r="G47" s="13">
        <f t="shared" si="10"/>
        <v>-0.8748705908445189</v>
      </c>
      <c r="H47" s="13">
        <f t="shared" si="10"/>
        <v>-1.1133551068698846</v>
      </c>
      <c r="I47" s="13">
        <f t="shared" si="10"/>
        <v>-0.45175799792602084</v>
      </c>
      <c r="J47" s="13">
        <f t="shared" si="10"/>
        <v>1.4163560812325104</v>
      </c>
      <c r="K47" s="13">
        <f t="shared" si="10"/>
        <v>-2.0695397855218607</v>
      </c>
    </row>
    <row r="48" spans="1:13">
      <c r="A48" s="1" t="s">
        <v>20</v>
      </c>
      <c r="B48" s="13">
        <f t="shared" ref="B48:K48" si="11">(B10-B$31)/B$32</f>
        <v>-0.56478571913138675</v>
      </c>
      <c r="C48" s="13">
        <f t="shared" si="11"/>
        <v>-0.41665887387998024</v>
      </c>
      <c r="D48" s="13">
        <f t="shared" si="11"/>
        <v>-0.72308871693294152</v>
      </c>
      <c r="E48" s="13">
        <f t="shared" si="11"/>
        <v>1.6848568479967385</v>
      </c>
      <c r="F48" s="13">
        <f t="shared" si="11"/>
        <v>4.9720187370979073E-2</v>
      </c>
      <c r="G48" s="13">
        <f t="shared" si="11"/>
        <v>0.20189321327181206</v>
      </c>
      <c r="H48" s="13">
        <f t="shared" si="11"/>
        <v>-1.0617959702275748</v>
      </c>
      <c r="I48" s="13">
        <f t="shared" si="11"/>
        <v>0.56376411311429064</v>
      </c>
      <c r="J48" s="13">
        <f t="shared" si="11"/>
        <v>1.0267120423790002</v>
      </c>
      <c r="K48" s="13">
        <f t="shared" si="11"/>
        <v>0</v>
      </c>
    </row>
    <row r="49" spans="1:15">
      <c r="A49" s="1" t="s">
        <v>21</v>
      </c>
      <c r="B49" s="13">
        <f t="shared" ref="B49:K49" si="12">(B11-B$31)/B$32</f>
        <v>0.45701741936780099</v>
      </c>
      <c r="C49" s="13">
        <f t="shared" si="12"/>
        <v>-1.0533510856516362</v>
      </c>
      <c r="D49" s="17">
        <f t="shared" si="12"/>
        <v>1.6919798689949035</v>
      </c>
      <c r="E49" s="13">
        <f t="shared" si="12"/>
        <v>0.2471123377061881</v>
      </c>
      <c r="F49" s="13">
        <f t="shared" si="12"/>
        <v>-1.0807598623270764</v>
      </c>
      <c r="G49" s="13">
        <f t="shared" si="12"/>
        <v>-0.33648868878635346</v>
      </c>
      <c r="H49" s="13">
        <f t="shared" si="12"/>
        <v>-0.27551913643234521</v>
      </c>
      <c r="I49" s="13">
        <f t="shared" si="12"/>
        <v>0.84253488869398541</v>
      </c>
      <c r="J49" s="13">
        <f t="shared" si="12"/>
        <v>-0.85916510567198923</v>
      </c>
      <c r="K49" s="13">
        <f t="shared" si="12"/>
        <v>0</v>
      </c>
    </row>
    <row r="50" spans="1:15">
      <c r="A50" s="1" t="s">
        <v>22</v>
      </c>
      <c r="B50" s="17">
        <f t="shared" ref="B50:K50" si="13">(B12-B$31)/B$32</f>
        <v>1.8832843001895834</v>
      </c>
      <c r="C50" s="13">
        <f t="shared" si="13"/>
        <v>-4.6815603806736735E-3</v>
      </c>
      <c r="D50" s="13">
        <f t="shared" si="13"/>
        <v>0.18852808131254928</v>
      </c>
      <c r="E50" s="13">
        <f t="shared" si="13"/>
        <v>-0.59157195996329925</v>
      </c>
      <c r="F50" s="13">
        <f t="shared" si="13"/>
        <v>4.9720187370979073E-2</v>
      </c>
      <c r="G50" s="13">
        <f t="shared" si="13"/>
        <v>1.2786570173881431</v>
      </c>
      <c r="H50" s="13">
        <f t="shared" si="13"/>
        <v>-0.33996805723523288</v>
      </c>
      <c r="I50" s="13">
        <f t="shared" si="13"/>
        <v>-1.9849972636143365</v>
      </c>
      <c r="J50" s="13">
        <f t="shared" si="13"/>
        <v>-0.39159225904777706</v>
      </c>
      <c r="K50" s="13">
        <f t="shared" si="13"/>
        <v>0.96578523324353494</v>
      </c>
    </row>
    <row r="51" spans="1:15">
      <c r="A51" s="1" t="s">
        <v>23</v>
      </c>
      <c r="B51" s="13">
        <f t="shared" ref="B51:K51" si="14">(B13-B$31)/B$32</f>
        <v>-1.0384340489565314</v>
      </c>
      <c r="C51" s="17">
        <f t="shared" si="14"/>
        <v>3.2162319815229967</v>
      </c>
      <c r="D51" s="13">
        <f t="shared" si="14"/>
        <v>-0.30307678894549012</v>
      </c>
      <c r="E51" s="13">
        <f t="shared" si="14"/>
        <v>-0.95100808753593657</v>
      </c>
      <c r="F51" s="13">
        <f t="shared" si="14"/>
        <v>2.8968551273512677</v>
      </c>
      <c r="G51" s="13">
        <f t="shared" si="14"/>
        <v>-1.9516343949608499</v>
      </c>
      <c r="H51" s="13">
        <f t="shared" si="14"/>
        <v>-0.43019654635927512</v>
      </c>
      <c r="I51" s="13">
        <f t="shared" si="14"/>
        <v>0.56376411311429064</v>
      </c>
      <c r="J51" s="13">
        <f t="shared" si="14"/>
        <v>-0.59420715925160195</v>
      </c>
      <c r="K51" s="13">
        <f t="shared" si="14"/>
        <v>1.2417238713131162</v>
      </c>
    </row>
    <row r="52" spans="1:15">
      <c r="A52" s="1" t="s">
        <v>24</v>
      </c>
      <c r="B52" s="13">
        <f t="shared" ref="B52:K52" si="15">(B14-B$31)/B$32</f>
        <v>-1.0810091797273307</v>
      </c>
      <c r="C52" s="13">
        <f t="shared" si="15"/>
        <v>-0.15449149256223954</v>
      </c>
      <c r="D52" s="13">
        <f t="shared" si="15"/>
        <v>0.30784965176352974</v>
      </c>
      <c r="E52" s="13">
        <f t="shared" si="15"/>
        <v>1.3254207204241011</v>
      </c>
      <c r="F52" s="13">
        <f t="shared" si="15"/>
        <v>0.34280760766306767</v>
      </c>
      <c r="G52" s="13">
        <f t="shared" si="15"/>
        <v>-0.8748705908445189</v>
      </c>
      <c r="H52" s="13">
        <f t="shared" si="15"/>
        <v>0.39474963991768708</v>
      </c>
      <c r="I52" s="13">
        <f t="shared" si="15"/>
        <v>1.001832474739524</v>
      </c>
      <c r="J52" s="13">
        <f t="shared" si="15"/>
        <v>0.24742396467197986</v>
      </c>
      <c r="K52" s="13">
        <f t="shared" si="15"/>
        <v>-0.27593863806958141</v>
      </c>
    </row>
    <row r="53" spans="1:15">
      <c r="A53" s="1" t="s">
        <v>25</v>
      </c>
      <c r="B53" s="13">
        <f t="shared" ref="B53:K53" si="16">(B15-B$31)/B$32</f>
        <v>-0.84152406914158351</v>
      </c>
      <c r="C53" s="13">
        <f t="shared" si="16"/>
        <v>-0.7911837043338954</v>
      </c>
      <c r="D53" s="13">
        <f t="shared" si="16"/>
        <v>-0.13125372749607817</v>
      </c>
      <c r="E53" s="13">
        <f t="shared" si="16"/>
        <v>1.4452327629483133</v>
      </c>
      <c r="F53" s="13">
        <f t="shared" si="16"/>
        <v>-0.91328133644588305</v>
      </c>
      <c r="G53" s="13">
        <f t="shared" si="16"/>
        <v>-0.33648868878635346</v>
      </c>
      <c r="H53" s="13">
        <f t="shared" si="16"/>
        <v>-0.84266963949775664</v>
      </c>
      <c r="I53" s="13">
        <f t="shared" si="16"/>
        <v>6.2225619549038762E-3</v>
      </c>
      <c r="J53" s="13">
        <f t="shared" si="16"/>
        <v>1.2916699887993874</v>
      </c>
      <c r="K53" s="13">
        <f t="shared" si="16"/>
        <v>0.96578523324353494</v>
      </c>
    </row>
    <row r="54" spans="1:15">
      <c r="A54" s="1" t="s">
        <v>26</v>
      </c>
      <c r="B54" s="13">
        <f t="shared" ref="B54:K54" si="17">(B16-B$31)/B$32</f>
        <v>1.0743568155443932</v>
      </c>
      <c r="C54" s="13">
        <f t="shared" si="17"/>
        <v>-0.11703900951684816</v>
      </c>
      <c r="D54" s="13">
        <f t="shared" si="17"/>
        <v>-0.43194408503254916</v>
      </c>
      <c r="E54" s="17">
        <f t="shared" si="17"/>
        <v>-1.6698803426812117</v>
      </c>
      <c r="F54" s="13">
        <f t="shared" si="17"/>
        <v>0.34280760766306767</v>
      </c>
      <c r="G54" s="13">
        <f t="shared" si="17"/>
        <v>0.74027511532997758</v>
      </c>
      <c r="H54" s="13">
        <f t="shared" si="17"/>
        <v>0.44630877655999701</v>
      </c>
      <c r="I54" s="13">
        <f t="shared" si="17"/>
        <v>0.16552014800044254</v>
      </c>
      <c r="J54" s="13">
        <f t="shared" si="17"/>
        <v>0.40328158021338389</v>
      </c>
      <c r="K54" s="13">
        <f t="shared" si="17"/>
        <v>-0.55187727613916282</v>
      </c>
    </row>
    <row r="55" spans="1:15">
      <c r="A55" s="1" t="s">
        <v>27</v>
      </c>
      <c r="B55" s="13">
        <f t="shared" ref="B55:K55" si="18">(B17-B$31)/B$32</f>
        <v>0.13770393858680449</v>
      </c>
      <c r="C55" s="13">
        <f t="shared" si="18"/>
        <v>-0.56646880606154648</v>
      </c>
      <c r="D55" s="13">
        <f t="shared" si="18"/>
        <v>-1.8113014394458833</v>
      </c>
      <c r="E55" s="13">
        <f t="shared" si="18"/>
        <v>0.48673642275461337</v>
      </c>
      <c r="F55" s="13">
        <f t="shared" si="18"/>
        <v>0.71963429089575259</v>
      </c>
      <c r="G55" s="13">
        <f t="shared" si="18"/>
        <v>1.2786570173881431</v>
      </c>
      <c r="H55" s="13">
        <f t="shared" si="18"/>
        <v>0.12406417254555861</v>
      </c>
      <c r="I55" s="13">
        <f t="shared" si="18"/>
        <v>0.46420312183582857</v>
      </c>
      <c r="J55" s="13">
        <f t="shared" si="18"/>
        <v>-0.14222007418153032</v>
      </c>
      <c r="K55" s="13">
        <f t="shared" si="18"/>
        <v>0.68984659517395353</v>
      </c>
    </row>
    <row r="56" spans="1:15">
      <c r="A56" s="8" t="s">
        <v>44</v>
      </c>
      <c r="B56" s="2" t="s">
        <v>40</v>
      </c>
      <c r="C56" s="2" t="s">
        <v>40</v>
      </c>
      <c r="D56" s="2" t="s">
        <v>40</v>
      </c>
      <c r="E56" s="2" t="s">
        <v>42</v>
      </c>
      <c r="F56" s="2" t="s">
        <v>42</v>
      </c>
      <c r="G56" s="2" t="s">
        <v>40</v>
      </c>
      <c r="H56" s="2" t="s">
        <v>40</v>
      </c>
      <c r="I56" s="2" t="s">
        <v>40</v>
      </c>
      <c r="J56" s="2" t="s">
        <v>42</v>
      </c>
      <c r="K56" s="2" t="s">
        <v>42</v>
      </c>
    </row>
    <row r="57" spans="1:15">
      <c r="A57" s="14" t="s">
        <v>49</v>
      </c>
      <c r="B57" s="16">
        <f>MAX(B40:B55)</f>
        <v>1.8832843001895834</v>
      </c>
      <c r="C57" s="16">
        <f t="shared" ref="C57:D57" si="19">MAX(C40:C55)</f>
        <v>3.2162319815229967</v>
      </c>
      <c r="D57" s="16">
        <f t="shared" si="19"/>
        <v>1.6919798689949035</v>
      </c>
      <c r="E57" s="16">
        <f>MIN(E40:E55)</f>
        <v>-1.6698803426812117</v>
      </c>
      <c r="F57" s="16">
        <f>MIN(F40:F55)</f>
        <v>-1.4994561770300601</v>
      </c>
      <c r="G57" s="16">
        <f>MAX(G40:G55)</f>
        <v>1.8170389194463086</v>
      </c>
      <c r="H57" s="16">
        <f t="shared" ref="H57:I57" si="20">MAX(H40:H55)</f>
        <v>2.250878559040852</v>
      </c>
      <c r="I57" s="16">
        <f t="shared" si="20"/>
        <v>1.5195496293875255</v>
      </c>
      <c r="J57" s="16">
        <f>MIN(J40:J55)</f>
        <v>-1.4981813293917456</v>
      </c>
      <c r="K57" s="16">
        <f>MIN(K40:K55)</f>
        <v>-2.0695397855218607</v>
      </c>
    </row>
    <row r="58" spans="1:15">
      <c r="A58" s="15"/>
    </row>
    <row r="59" spans="1:15">
      <c r="A59" s="18" t="s">
        <v>50</v>
      </c>
    </row>
    <row r="61" spans="1:15">
      <c r="A61" s="1"/>
      <c r="B61" s="2" t="s">
        <v>0</v>
      </c>
      <c r="C61" s="2" t="s">
        <v>1</v>
      </c>
      <c r="D61" s="2" t="s">
        <v>2</v>
      </c>
      <c r="E61" s="2" t="s">
        <v>3</v>
      </c>
      <c r="F61" s="2" t="s">
        <v>4</v>
      </c>
      <c r="G61" s="2"/>
      <c r="H61" s="2" t="s">
        <v>6</v>
      </c>
      <c r="I61" s="2"/>
      <c r="J61" s="2" t="s">
        <v>8</v>
      </c>
      <c r="K61" s="2" t="s">
        <v>9</v>
      </c>
      <c r="L61" s="19" t="s">
        <v>51</v>
      </c>
      <c r="M61" s="19" t="s">
        <v>52</v>
      </c>
      <c r="N61" s="19" t="s">
        <v>56</v>
      </c>
      <c r="O61" s="19" t="s">
        <v>57</v>
      </c>
    </row>
    <row r="62" spans="1:15">
      <c r="A62" s="1" t="s">
        <v>12</v>
      </c>
      <c r="B62" s="13">
        <f>(B40-B$57)^2</f>
        <v>0.11241211165684407</v>
      </c>
      <c r="C62" s="13">
        <f t="shared" ref="C62:K62" si="21">(C40-C$57)^2</f>
        <v>5.5672706019871283</v>
      </c>
      <c r="D62" s="13">
        <f t="shared" si="21"/>
        <v>3.5004996461472566</v>
      </c>
      <c r="E62" s="13">
        <f t="shared" si="21"/>
        <v>1.4354925533823708</v>
      </c>
      <c r="F62" s="13">
        <f t="shared" si="21"/>
        <v>4.3826650986464966</v>
      </c>
      <c r="G62" s="13"/>
      <c r="H62" s="13">
        <f t="shared" si="21"/>
        <v>1.4994724847491363</v>
      </c>
      <c r="I62" s="13"/>
      <c r="J62" s="13">
        <f t="shared" si="21"/>
        <v>0.6318244203417771</v>
      </c>
      <c r="K62" s="13">
        <f t="shared" si="21"/>
        <v>4.2829949238578688</v>
      </c>
      <c r="L62" s="19">
        <f>SUM(B62:K62)</f>
        <v>21.412631840768874</v>
      </c>
      <c r="M62" s="20">
        <f>SQRT(L62)</f>
        <v>4.6273785063217892</v>
      </c>
      <c r="N62" s="22">
        <f>1-(M62/$M$82)</f>
        <v>0.45566714666864638</v>
      </c>
    </row>
    <row r="63" spans="1:15">
      <c r="A63" s="1" t="s">
        <v>13</v>
      </c>
      <c r="B63" s="13">
        <f t="shared" ref="B63:K63" si="22">(B41-B$57)^2</f>
        <v>5.7864056588409989</v>
      </c>
      <c r="C63" s="13">
        <f t="shared" si="22"/>
        <v>10.134424313267072</v>
      </c>
      <c r="D63" s="13">
        <f t="shared" si="22"/>
        <v>7.7959606114818376</v>
      </c>
      <c r="E63" s="13">
        <f t="shared" si="22"/>
        <v>4.6509958729588803</v>
      </c>
      <c r="F63" s="13">
        <f t="shared" si="22"/>
        <v>1.4743285391846812</v>
      </c>
      <c r="G63" s="13"/>
      <c r="H63" s="13">
        <f t="shared" si="22"/>
        <v>8.114762950430201</v>
      </c>
      <c r="I63" s="13"/>
      <c r="J63" s="13">
        <f t="shared" si="22"/>
        <v>3.3252766205530926</v>
      </c>
      <c r="K63" s="13">
        <f t="shared" si="22"/>
        <v>12.868020304568528</v>
      </c>
      <c r="L63" s="19">
        <f t="shared" ref="L63:L77" si="23">SUM(B63:K63)</f>
        <v>54.150174871285287</v>
      </c>
      <c r="M63" s="20">
        <f t="shared" ref="M63:M77" si="24">SQRT(L63)</f>
        <v>7.3586802397770548</v>
      </c>
      <c r="N63" s="22">
        <f t="shared" ref="N63:N77" si="25">1-(M63/$M$82)</f>
        <v>0.13437567162517627</v>
      </c>
    </row>
    <row r="64" spans="1:15">
      <c r="A64" s="1" t="s">
        <v>14</v>
      </c>
      <c r="B64" s="13">
        <f t="shared" ref="B64:K64" si="26">(B42-B$57)^2</f>
        <v>6.9117163215645414</v>
      </c>
      <c r="C64" s="13">
        <f t="shared" si="26"/>
        <v>16.360958503798912</v>
      </c>
      <c r="D64" s="13">
        <f t="shared" si="26"/>
        <v>2.541270164290943</v>
      </c>
      <c r="E64" s="13">
        <f t="shared" si="26"/>
        <v>7.5937556073927386</v>
      </c>
      <c r="F64" s="13">
        <f t="shared" si="26"/>
        <v>3.5499587299036626</v>
      </c>
      <c r="G64" s="13"/>
      <c r="H64" s="13">
        <f t="shared" si="26"/>
        <v>4.1476821173714606</v>
      </c>
      <c r="I64" s="13"/>
      <c r="J64" s="13">
        <f t="shared" si="26"/>
        <v>0.58324122769727316</v>
      </c>
      <c r="K64" s="13">
        <f t="shared" si="26"/>
        <v>6.8718274111675139</v>
      </c>
      <c r="L64" s="19">
        <f t="shared" si="23"/>
        <v>48.560410083187044</v>
      </c>
      <c r="M64" s="20">
        <f t="shared" si="24"/>
        <v>6.9685299800737779</v>
      </c>
      <c r="N64" s="22">
        <f t="shared" si="25"/>
        <v>0.18027025401175156</v>
      </c>
    </row>
    <row r="65" spans="1:14">
      <c r="A65" s="1" t="s">
        <v>15</v>
      </c>
      <c r="B65" s="13">
        <f t="shared" ref="B65:K65" si="27">(B43-B$57)^2</f>
        <v>5.0677215234687587</v>
      </c>
      <c r="C65" s="13">
        <f t="shared" si="27"/>
        <v>10.616949152542349</v>
      </c>
      <c r="D65" s="13">
        <f t="shared" si="27"/>
        <v>2.278021947982568E-5</v>
      </c>
      <c r="E65" s="13">
        <f t="shared" si="27"/>
        <v>2.0671092768706147</v>
      </c>
      <c r="F65" s="13">
        <f t="shared" si="27"/>
        <v>1.4743285391846812</v>
      </c>
      <c r="G65" s="13"/>
      <c r="H65" s="13">
        <f t="shared" si="27"/>
        <v>14.361041960307633</v>
      </c>
      <c r="I65" s="13"/>
      <c r="J65" s="13">
        <f t="shared" si="27"/>
        <v>11.757132619970022</v>
      </c>
      <c r="K65" s="13">
        <f t="shared" si="27"/>
        <v>2.3032994923857877</v>
      </c>
      <c r="L65" s="19">
        <f t="shared" si="23"/>
        <v>47.647605344949326</v>
      </c>
      <c r="M65" s="20">
        <f t="shared" si="24"/>
        <v>6.9027244871100955</v>
      </c>
      <c r="N65" s="22">
        <f t="shared" si="25"/>
        <v>0.18801115778715294</v>
      </c>
    </row>
    <row r="66" spans="1:14">
      <c r="A66" s="1" t="s">
        <v>16</v>
      </c>
      <c r="B66" s="13">
        <f t="shared" ref="B66:K66" si="28">(B44-B$57)^2</f>
        <v>5.3101623588889115</v>
      </c>
      <c r="C66" s="13">
        <f t="shared" si="28"/>
        <v>12.131852717708915</v>
      </c>
      <c r="D66" s="13">
        <f t="shared" si="28"/>
        <v>2.9033161924837416</v>
      </c>
      <c r="E66" s="13">
        <f t="shared" si="28"/>
        <v>1.4354925533823708</v>
      </c>
      <c r="F66" s="13">
        <f t="shared" si="28"/>
        <v>0.7012264157834398</v>
      </c>
      <c r="G66" s="13"/>
      <c r="H66" s="13">
        <f t="shared" si="28"/>
        <v>3.9916705203432694</v>
      </c>
      <c r="I66" s="13"/>
      <c r="J66" s="13">
        <f t="shared" si="28"/>
        <v>0.10712593978113172</v>
      </c>
      <c r="K66" s="13">
        <f t="shared" si="28"/>
        <v>4.873096446700508</v>
      </c>
      <c r="L66" s="19">
        <f t="shared" si="23"/>
        <v>31.453943145072291</v>
      </c>
      <c r="M66" s="20">
        <f t="shared" si="24"/>
        <v>5.6083815085167208</v>
      </c>
      <c r="N66" s="22">
        <f t="shared" si="25"/>
        <v>0.34026872776216033</v>
      </c>
    </row>
    <row r="67" spans="1:14">
      <c r="A67" s="1" t="s">
        <v>17</v>
      </c>
      <c r="B67" s="13">
        <f t="shared" ref="B67:K67" si="29">(B45-B$57)^2</f>
        <v>2.284381778229891</v>
      </c>
      <c r="C67" s="13">
        <f t="shared" si="29"/>
        <v>9.2030391583868898</v>
      </c>
      <c r="D67" s="13">
        <f t="shared" si="29"/>
        <v>7.1438768288719512</v>
      </c>
      <c r="E67" s="13">
        <f t="shared" si="29"/>
        <v>0.35887313834559254</v>
      </c>
      <c r="F67" s="13">
        <f t="shared" si="29"/>
        <v>0.63285684024455413</v>
      </c>
      <c r="G67" s="13"/>
      <c r="H67" s="13">
        <f t="shared" si="29"/>
        <v>0.57835609079354455</v>
      </c>
      <c r="I67" s="13"/>
      <c r="J67" s="13">
        <f t="shared" si="29"/>
        <v>0.90389029915100072</v>
      </c>
      <c r="K67" s="13">
        <f t="shared" si="29"/>
        <v>0.30456852791878203</v>
      </c>
      <c r="L67" s="19">
        <f t="shared" si="23"/>
        <v>21.409842661942207</v>
      </c>
      <c r="M67" s="20">
        <f t="shared" si="24"/>
        <v>4.6270771186508455</v>
      </c>
      <c r="N67" s="22">
        <f t="shared" si="25"/>
        <v>0.45570259983303729</v>
      </c>
    </row>
    <row r="68" spans="1:14">
      <c r="A68" s="1" t="s">
        <v>18</v>
      </c>
      <c r="B68" s="13">
        <f t="shared" ref="B68:K68" si="30">(B46-B$57)^2</f>
        <v>0.336499949255472</v>
      </c>
      <c r="C68" s="13">
        <f t="shared" si="30"/>
        <v>15.171478667445907</v>
      </c>
      <c r="D68" s="13">
        <f t="shared" si="30"/>
        <v>2.8225603144277756</v>
      </c>
      <c r="E68" s="13">
        <f t="shared" si="30"/>
        <v>0.70339135115736184</v>
      </c>
      <c r="F68" s="13">
        <f t="shared" si="30"/>
        <v>0</v>
      </c>
      <c r="G68" s="13"/>
      <c r="H68" s="13">
        <f t="shared" si="30"/>
        <v>0</v>
      </c>
      <c r="I68" s="13"/>
      <c r="J68" s="13">
        <f t="shared" si="30"/>
        <v>0</v>
      </c>
      <c r="K68" s="13">
        <f t="shared" si="30"/>
        <v>0.93274111675126936</v>
      </c>
      <c r="L68" s="19">
        <f t="shared" si="23"/>
        <v>19.966671399037786</v>
      </c>
      <c r="M68" s="20">
        <f t="shared" si="24"/>
        <v>4.4684081504533344</v>
      </c>
      <c r="N68" s="22">
        <f t="shared" si="25"/>
        <v>0.47436732157043104</v>
      </c>
    </row>
    <row r="69" spans="1:14">
      <c r="A69" s="1" t="s">
        <v>19</v>
      </c>
      <c r="B69" s="13">
        <f t="shared" ref="B69:K69" si="31">(B47-B$57)^2</f>
        <v>9.4621032780965422</v>
      </c>
      <c r="C69" s="13">
        <f t="shared" si="31"/>
        <v>6.6781998831092757</v>
      </c>
      <c r="D69" s="13">
        <f t="shared" si="31"/>
        <v>2.278021947982568E-5</v>
      </c>
      <c r="E69" s="13">
        <f t="shared" si="31"/>
        <v>1.4354925533823708</v>
      </c>
      <c r="F69" s="13">
        <f t="shared" si="31"/>
        <v>2.3999474080188214</v>
      </c>
      <c r="G69" s="13"/>
      <c r="H69" s="13">
        <f t="shared" si="31"/>
        <v>11.318068158847195</v>
      </c>
      <c r="I69" s="13"/>
      <c r="J69" s="13">
        <f t="shared" si="31"/>
        <v>8.494528317928344</v>
      </c>
      <c r="K69" s="13">
        <f t="shared" si="31"/>
        <v>0</v>
      </c>
      <c r="L69" s="19">
        <f t="shared" si="23"/>
        <v>39.788362379602027</v>
      </c>
      <c r="M69" s="20">
        <f t="shared" si="24"/>
        <v>6.3078017073780961</v>
      </c>
      <c r="N69" s="22">
        <f t="shared" si="25"/>
        <v>0.25799376538256025</v>
      </c>
    </row>
    <row r="70" spans="1:14">
      <c r="A70" s="1" t="s">
        <v>20</v>
      </c>
      <c r="B70" s="13">
        <f t="shared" ref="B70:K70" si="32">(B48-B$57)^2</f>
        <v>5.9930468194981747</v>
      </c>
      <c r="C70" s="13">
        <f t="shared" si="32"/>
        <v>13.197895967270574</v>
      </c>
      <c r="D70" s="13">
        <f t="shared" si="32"/>
        <v>5.8325562747355217</v>
      </c>
      <c r="E70" s="13">
        <f t="shared" si="32"/>
        <v>11.254261618517784</v>
      </c>
      <c r="F70" s="13">
        <f t="shared" si="32"/>
        <v>2.3999474080188214</v>
      </c>
      <c r="G70" s="13"/>
      <c r="H70" s="13">
        <f t="shared" si="32"/>
        <v>10.973812536863793</v>
      </c>
      <c r="I70" s="13"/>
      <c r="J70" s="13">
        <f t="shared" si="32"/>
        <v>6.3750865388118454</v>
      </c>
      <c r="K70" s="13">
        <f t="shared" si="32"/>
        <v>4.2829949238578688</v>
      </c>
      <c r="L70" s="19">
        <f t="shared" si="23"/>
        <v>60.309602087574376</v>
      </c>
      <c r="M70" s="20">
        <f t="shared" si="24"/>
        <v>7.765925707059937</v>
      </c>
      <c r="N70" s="22">
        <f t="shared" si="25"/>
        <v>8.6470127069116498E-2</v>
      </c>
    </row>
    <row r="71" spans="1:14">
      <c r="A71" s="1" t="s">
        <v>21</v>
      </c>
      <c r="B71" s="13">
        <f t="shared" ref="B71:K71" si="33">(B49-B$57)^2</f>
        <v>2.0342372153290964</v>
      </c>
      <c r="C71" s="13">
        <f t="shared" si="33"/>
        <v>18.229339567504347</v>
      </c>
      <c r="D71" s="13">
        <f t="shared" si="33"/>
        <v>0</v>
      </c>
      <c r="E71" s="13">
        <f t="shared" si="33"/>
        <v>3.6748609366588676</v>
      </c>
      <c r="F71" s="13">
        <f t="shared" si="33"/>
        <v>0.1753066039458599</v>
      </c>
      <c r="G71" s="13"/>
      <c r="H71" s="13">
        <f t="shared" si="33"/>
        <v>6.3826853156922807</v>
      </c>
      <c r="I71" s="13"/>
      <c r="J71" s="13">
        <f t="shared" si="33"/>
        <v>0.40834173417705777</v>
      </c>
      <c r="K71" s="13">
        <f t="shared" si="33"/>
        <v>4.2829949238578688</v>
      </c>
      <c r="L71" s="19">
        <f t="shared" si="23"/>
        <v>35.187766297165375</v>
      </c>
      <c r="M71" s="20">
        <f t="shared" si="24"/>
        <v>5.9319277049847274</v>
      </c>
      <c r="N71" s="22">
        <f t="shared" si="25"/>
        <v>0.3022089874432452</v>
      </c>
    </row>
    <row r="72" spans="1:14">
      <c r="A72" s="1" t="s">
        <v>22</v>
      </c>
      <c r="B72" s="13">
        <f t="shared" ref="B72:K72" si="34">(B50-B$57)^2</f>
        <v>0</v>
      </c>
      <c r="C72" s="13">
        <f t="shared" si="34"/>
        <v>10.374284044418447</v>
      </c>
      <c r="D72" s="13">
        <f t="shared" si="34"/>
        <v>2.2603672778852664</v>
      </c>
      <c r="E72" s="13">
        <f t="shared" si="34"/>
        <v>1.1627489682397196</v>
      </c>
      <c r="F72" s="13">
        <f t="shared" si="34"/>
        <v>2.3999474080188214</v>
      </c>
      <c r="G72" s="13"/>
      <c r="H72" s="13">
        <f t="shared" si="34"/>
        <v>6.7124861890692387</v>
      </c>
      <c r="I72" s="13"/>
      <c r="J72" s="13">
        <f t="shared" si="34"/>
        <v>1.2245393706047285</v>
      </c>
      <c r="K72" s="13">
        <f t="shared" si="34"/>
        <v>9.2131979695431507</v>
      </c>
      <c r="L72" s="19">
        <f t="shared" si="23"/>
        <v>33.347571227779369</v>
      </c>
      <c r="M72" s="20">
        <f t="shared" si="24"/>
        <v>5.7747355980840691</v>
      </c>
      <c r="N72" s="22">
        <f t="shared" si="25"/>
        <v>0.32069998141607592</v>
      </c>
    </row>
    <row r="73" spans="1:14">
      <c r="A73" s="1" t="s">
        <v>23</v>
      </c>
      <c r="B73" s="13">
        <f t="shared" ref="B73:K73" si="35">(B51-B$57)^2</f>
        <v>8.5364381117371</v>
      </c>
      <c r="C73" s="13">
        <f t="shared" si="35"/>
        <v>0</v>
      </c>
      <c r="D73" s="13">
        <f t="shared" si="35"/>
        <v>3.9802510683922931</v>
      </c>
      <c r="E73" s="13">
        <f t="shared" si="35"/>
        <v>0.51677731921765346</v>
      </c>
      <c r="F73" s="13">
        <f t="shared" si="35"/>
        <v>19.327553085031052</v>
      </c>
      <c r="G73" s="13"/>
      <c r="H73" s="13">
        <f t="shared" si="35"/>
        <v>7.1881637207963029</v>
      </c>
      <c r="I73" s="13"/>
      <c r="J73" s="13">
        <f t="shared" si="35"/>
        <v>0.81716930028056145</v>
      </c>
      <c r="K73" s="13">
        <f t="shared" si="35"/>
        <v>10.964467005076143</v>
      </c>
      <c r="L73" s="19">
        <f t="shared" si="23"/>
        <v>51.330819610531108</v>
      </c>
      <c r="M73" s="20">
        <f t="shared" si="24"/>
        <v>7.1645529944673525</v>
      </c>
      <c r="N73" s="22">
        <f t="shared" si="25"/>
        <v>0.15721146022652421</v>
      </c>
    </row>
    <row r="74" spans="1:14">
      <c r="A74" s="1" t="s">
        <v>24</v>
      </c>
      <c r="B74" s="13">
        <f t="shared" ref="B74:K74" si="36">(B52-B$57)^2</f>
        <v>8.7870358350779263</v>
      </c>
      <c r="C74" s="13">
        <f t="shared" si="36"/>
        <v>11.361776738749246</v>
      </c>
      <c r="D74" s="13">
        <f t="shared" si="36"/>
        <v>1.9158164582529695</v>
      </c>
      <c r="E74" s="13">
        <f t="shared" si="36"/>
        <v>8.9718284586398163</v>
      </c>
      <c r="F74" s="13">
        <f t="shared" si="36"/>
        <v>3.3939358523918473</v>
      </c>
      <c r="G74" s="13"/>
      <c r="H74" s="13">
        <f t="shared" si="36"/>
        <v>3.4452145644053283</v>
      </c>
      <c r="I74" s="13"/>
      <c r="J74" s="13">
        <f t="shared" si="36"/>
        <v>3.0471378426633056</v>
      </c>
      <c r="K74" s="13">
        <f t="shared" si="36"/>
        <v>3.2170050761421329</v>
      </c>
      <c r="L74" s="19">
        <f t="shared" si="23"/>
        <v>44.139750826322569</v>
      </c>
      <c r="M74" s="20">
        <f t="shared" si="24"/>
        <v>6.6437753443597538</v>
      </c>
      <c r="N74" s="22">
        <f t="shared" si="25"/>
        <v>0.21847214677874582</v>
      </c>
    </row>
    <row r="75" spans="1:14">
      <c r="A75" s="1" t="s">
        <v>25</v>
      </c>
      <c r="B75" s="13">
        <f t="shared" ref="B75:K75" si="37">(B53-B$57)^2</f>
        <v>7.4245806495771731</v>
      </c>
      <c r="C75" s="13">
        <f t="shared" si="37"/>
        <v>16.059380479251864</v>
      </c>
      <c r="D75" s="13">
        <f t="shared" si="37"/>
        <v>3.3241807473734397</v>
      </c>
      <c r="E75" s="13">
        <f t="shared" si="37"/>
        <v>9.7039296608648229</v>
      </c>
      <c r="F75" s="13">
        <f t="shared" si="37"/>
        <v>0.34360094373388533</v>
      </c>
      <c r="G75" s="13"/>
      <c r="H75" s="13">
        <f t="shared" si="37"/>
        <v>9.5700404566814719</v>
      </c>
      <c r="I75" s="13"/>
      <c r="J75" s="13">
        <f t="shared" si="37"/>
        <v>7.7832703776128032</v>
      </c>
      <c r="K75" s="13">
        <f t="shared" si="37"/>
        <v>9.2131979695431507</v>
      </c>
      <c r="L75" s="19">
        <f t="shared" si="23"/>
        <v>63.422181284638611</v>
      </c>
      <c r="M75" s="20">
        <f t="shared" si="24"/>
        <v>7.9638044479154946</v>
      </c>
      <c r="N75" s="22">
        <f t="shared" si="25"/>
        <v>6.319303843753632E-2</v>
      </c>
    </row>
    <row r="76" spans="1:14">
      <c r="A76" s="1" t="s">
        <v>26</v>
      </c>
      <c r="B76" s="13">
        <f t="shared" ref="B76:K76" si="38">(B54-B$57)^2</f>
        <v>0.65436367541439433</v>
      </c>
      <c r="C76" s="13">
        <f t="shared" si="38"/>
        <v>11.11069549970775</v>
      </c>
      <c r="D76" s="13">
        <f t="shared" si="38"/>
        <v>4.5110529624916085</v>
      </c>
      <c r="E76" s="13">
        <f t="shared" si="38"/>
        <v>0</v>
      </c>
      <c r="F76" s="13">
        <f t="shared" si="38"/>
        <v>3.3939358523918473</v>
      </c>
      <c r="G76" s="13"/>
      <c r="H76" s="13">
        <f t="shared" si="38"/>
        <v>3.2564720998430006</v>
      </c>
      <c r="I76" s="13"/>
      <c r="J76" s="13">
        <f t="shared" si="38"/>
        <v>3.6155611966040047</v>
      </c>
      <c r="K76" s="13">
        <f t="shared" si="38"/>
        <v>2.3032994923857877</v>
      </c>
      <c r="L76" s="19">
        <f t="shared" si="23"/>
        <v>28.845380778838397</v>
      </c>
      <c r="M76" s="20">
        <f t="shared" si="24"/>
        <v>5.370789586163137</v>
      </c>
      <c r="N76" s="22">
        <f t="shared" si="25"/>
        <v>0.36821740082759513</v>
      </c>
    </row>
    <row r="77" spans="1:14">
      <c r="A77" s="1" t="s">
        <v>27</v>
      </c>
      <c r="B77" s="13">
        <f t="shared" ref="B77:K77" si="39">(B55-B$57)^2</f>
        <v>3.0470507988132884</v>
      </c>
      <c r="C77" s="13">
        <f t="shared" si="39"/>
        <v>14.308825248392722</v>
      </c>
      <c r="D77" s="13">
        <f t="shared" si="39"/>
        <v>12.272979926070592</v>
      </c>
      <c r="E77" s="13">
        <f t="shared" si="39"/>
        <v>4.6509958729588803</v>
      </c>
      <c r="F77" s="13">
        <f t="shared" si="39"/>
        <v>4.9243625048392028</v>
      </c>
      <c r="G77" s="13"/>
      <c r="H77" s="13">
        <f t="shared" si="39"/>
        <v>4.5233394346033515</v>
      </c>
      <c r="I77" s="13"/>
      <c r="J77" s="13">
        <f t="shared" si="39"/>
        <v>1.8386309256312627</v>
      </c>
      <c r="K77" s="13">
        <f t="shared" si="39"/>
        <v>7.6142131979695442</v>
      </c>
      <c r="L77" s="19">
        <f t="shared" si="23"/>
        <v>53.180397909278838</v>
      </c>
      <c r="M77" s="20">
        <f t="shared" si="24"/>
        <v>7.2924891435832002</v>
      </c>
      <c r="N77" s="22">
        <f t="shared" si="25"/>
        <v>0.14216193510180952</v>
      </c>
    </row>
    <row r="78" spans="1:14">
      <c r="A78" s="8" t="s">
        <v>44</v>
      </c>
      <c r="B78" s="2" t="s">
        <v>40</v>
      </c>
      <c r="C78" s="2" t="s">
        <v>40</v>
      </c>
      <c r="D78" s="2" t="s">
        <v>40</v>
      </c>
      <c r="E78" s="2" t="s">
        <v>42</v>
      </c>
      <c r="F78" s="2" t="s">
        <v>42</v>
      </c>
      <c r="G78" s="2"/>
      <c r="H78" s="2" t="s">
        <v>40</v>
      </c>
      <c r="I78" s="2"/>
      <c r="J78" s="2" t="s">
        <v>42</v>
      </c>
      <c r="K78" s="2" t="s">
        <v>42</v>
      </c>
      <c r="L78" s="19"/>
    </row>
    <row r="79" spans="1:14">
      <c r="M79" s="20">
        <f>SUM(M62:M77)</f>
        <v>100.77698222489938</v>
      </c>
    </row>
    <row r="80" spans="1:14">
      <c r="L80" t="s">
        <v>53</v>
      </c>
      <c r="M80" s="21">
        <f>AVERAGE(M62:M77)</f>
        <v>6.2985613890562115</v>
      </c>
    </row>
    <row r="81" spans="1:13">
      <c r="L81" t="s">
        <v>54</v>
      </c>
      <c r="M81" s="20">
        <f>_xlfn.STDEV.P(M62:M77)</f>
        <v>1.1012238249051065</v>
      </c>
    </row>
    <row r="82" spans="1:13">
      <c r="L82" t="s">
        <v>55</v>
      </c>
      <c r="M82">
        <f>M80+(2*M81)</f>
        <v>8.5010090388664246</v>
      </c>
    </row>
    <row r="83" spans="1:13">
      <c r="A83" s="1" t="s">
        <v>18</v>
      </c>
      <c r="B83" s="10">
        <v>0.47436732157043104</v>
      </c>
      <c r="C83">
        <v>1</v>
      </c>
    </row>
    <row r="84" spans="1:13">
      <c r="A84" s="1" t="s">
        <v>17</v>
      </c>
      <c r="B84" s="10">
        <v>0.45570259983303729</v>
      </c>
      <c r="C84">
        <v>2</v>
      </c>
    </row>
    <row r="85" spans="1:13">
      <c r="A85" s="1" t="s">
        <v>12</v>
      </c>
      <c r="B85" s="10">
        <v>0.45566714666864638</v>
      </c>
      <c r="C85">
        <v>3</v>
      </c>
    </row>
    <row r="86" spans="1:13">
      <c r="A86" s="1" t="s">
        <v>26</v>
      </c>
      <c r="B86" s="10">
        <v>0.36821740082759513</v>
      </c>
      <c r="C86">
        <v>4</v>
      </c>
    </row>
    <row r="87" spans="1:13">
      <c r="A87" s="1" t="s">
        <v>16</v>
      </c>
      <c r="B87" s="10">
        <v>0.34026872776216033</v>
      </c>
      <c r="C87">
        <v>5</v>
      </c>
    </row>
    <row r="88" spans="1:13">
      <c r="A88" s="1" t="s">
        <v>22</v>
      </c>
      <c r="B88" s="10">
        <v>0.32069998141607592</v>
      </c>
      <c r="C88">
        <v>6</v>
      </c>
    </row>
    <row r="89" spans="1:13">
      <c r="A89" s="1" t="s">
        <v>21</v>
      </c>
      <c r="B89" s="10">
        <v>0.3022089874432452</v>
      </c>
      <c r="C89">
        <v>7</v>
      </c>
    </row>
    <row r="90" spans="1:13">
      <c r="A90" s="1" t="s">
        <v>19</v>
      </c>
      <c r="B90" s="10">
        <v>0.25799376538256025</v>
      </c>
      <c r="C90">
        <v>8</v>
      </c>
    </row>
    <row r="91" spans="1:13">
      <c r="A91" s="1" t="s">
        <v>24</v>
      </c>
      <c r="B91" s="10">
        <v>0.21847214677874582</v>
      </c>
      <c r="C91">
        <v>9</v>
      </c>
    </row>
    <row r="92" spans="1:13">
      <c r="A92" s="1" t="s">
        <v>15</v>
      </c>
      <c r="B92" s="10">
        <v>0.18801115778715294</v>
      </c>
      <c r="C92">
        <v>10</v>
      </c>
    </row>
    <row r="93" spans="1:13">
      <c r="A93" s="1" t="s">
        <v>14</v>
      </c>
      <c r="B93" s="10">
        <v>0.18027025401175156</v>
      </c>
      <c r="C93">
        <v>11</v>
      </c>
    </row>
    <row r="94" spans="1:13">
      <c r="A94" s="1" t="s">
        <v>23</v>
      </c>
      <c r="B94" s="10">
        <v>0.15721146022652421</v>
      </c>
      <c r="C94">
        <v>12</v>
      </c>
    </row>
    <row r="95" spans="1:13">
      <c r="A95" s="1" t="s">
        <v>27</v>
      </c>
      <c r="B95" s="10">
        <v>0.14216193510180952</v>
      </c>
      <c r="C95">
        <v>13</v>
      </c>
    </row>
    <row r="96" spans="1:13">
      <c r="A96" s="1" t="s">
        <v>13</v>
      </c>
      <c r="B96" s="10">
        <v>0.13437567162517627</v>
      </c>
      <c r="C96">
        <v>14</v>
      </c>
    </row>
    <row r="97" spans="1:13">
      <c r="A97" s="1" t="s">
        <v>20</v>
      </c>
      <c r="B97" s="10">
        <v>8.6470127069116498E-2</v>
      </c>
      <c r="C97">
        <v>15</v>
      </c>
    </row>
    <row r="98" spans="1:13">
      <c r="A98" s="1" t="s">
        <v>25</v>
      </c>
      <c r="B98" s="10">
        <v>6.319303843753632E-2</v>
      </c>
      <c r="C98">
        <v>16</v>
      </c>
    </row>
    <row r="102" spans="1:13">
      <c r="A102" t="s">
        <v>59</v>
      </c>
    </row>
    <row r="104" spans="1:13">
      <c r="A104" s="1"/>
      <c r="B104" s="2" t="s">
        <v>0</v>
      </c>
      <c r="C104" s="2" t="s">
        <v>1</v>
      </c>
      <c r="D104" s="2" t="s">
        <v>2</v>
      </c>
      <c r="E104" s="2" t="s">
        <v>3</v>
      </c>
      <c r="F104" s="2" t="s">
        <v>4</v>
      </c>
      <c r="G104" s="2" t="s">
        <v>6</v>
      </c>
      <c r="H104" s="2" t="s">
        <v>8</v>
      </c>
      <c r="I104" s="2" t="s">
        <v>9</v>
      </c>
      <c r="J104" s="23"/>
      <c r="K104" s="23"/>
      <c r="L104" s="23"/>
      <c r="M104" s="23"/>
    </row>
    <row r="105" spans="1:13">
      <c r="A105" s="1" t="s">
        <v>12</v>
      </c>
      <c r="B105" s="3">
        <v>86.4</v>
      </c>
      <c r="C105" s="3">
        <v>8.9</v>
      </c>
      <c r="D105" s="3">
        <v>45.7</v>
      </c>
      <c r="E105" s="3">
        <v>3.5</v>
      </c>
      <c r="F105" s="3">
        <v>7.9</v>
      </c>
      <c r="G105" s="3">
        <v>43.4</v>
      </c>
      <c r="H105" s="3">
        <v>28.9</v>
      </c>
      <c r="I105" s="3">
        <v>39</v>
      </c>
      <c r="J105" s="23"/>
      <c r="K105" s="23"/>
      <c r="L105" s="23"/>
      <c r="M105" s="23"/>
    </row>
    <row r="106" spans="1:13">
      <c r="A106" s="1" t="s">
        <v>13</v>
      </c>
      <c r="B106" s="3">
        <v>47.5</v>
      </c>
      <c r="C106" s="3">
        <v>6.7</v>
      </c>
      <c r="D106" s="3">
        <v>26.4</v>
      </c>
      <c r="E106" s="3">
        <v>4.3</v>
      </c>
      <c r="F106" s="3">
        <v>5.8</v>
      </c>
      <c r="G106" s="3">
        <v>30.8</v>
      </c>
      <c r="H106" s="3">
        <v>35.5</v>
      </c>
      <c r="I106" s="3">
        <v>50</v>
      </c>
      <c r="J106" s="23"/>
      <c r="K106" s="23"/>
      <c r="L106" s="23"/>
      <c r="M106" s="23"/>
    </row>
    <row r="107" spans="1:13">
      <c r="A107" s="1" t="s">
        <v>14</v>
      </c>
      <c r="B107" s="3">
        <v>43.3</v>
      </c>
      <c r="C107" s="3">
        <v>4.4000000000000004</v>
      </c>
      <c r="D107" s="3">
        <v>51.5</v>
      </c>
      <c r="E107" s="3">
        <v>4.8</v>
      </c>
      <c r="F107" s="3">
        <v>7.4</v>
      </c>
      <c r="G107" s="3">
        <v>37.1</v>
      </c>
      <c r="H107" s="3">
        <v>28.7</v>
      </c>
      <c r="I107" s="3">
        <v>43</v>
      </c>
      <c r="J107" s="23"/>
      <c r="K107" s="23"/>
      <c r="L107" s="23"/>
      <c r="M107" s="23"/>
    </row>
    <row r="108" spans="1:13">
      <c r="A108" s="1" t="s">
        <v>15</v>
      </c>
      <c r="B108" s="3">
        <v>50.4</v>
      </c>
      <c r="C108" s="3">
        <v>6.5</v>
      </c>
      <c r="D108" s="3">
        <v>84.8</v>
      </c>
      <c r="E108" s="3">
        <v>3.7</v>
      </c>
      <c r="F108" s="3">
        <v>5.8</v>
      </c>
      <c r="G108" s="3">
        <v>23.5</v>
      </c>
      <c r="H108" s="3">
        <v>45.8</v>
      </c>
      <c r="I108" s="3">
        <v>35</v>
      </c>
      <c r="J108" s="23"/>
      <c r="K108" s="23"/>
      <c r="L108" s="23"/>
      <c r="M108" s="23"/>
    </row>
    <row r="109" spans="1:13">
      <c r="A109" s="1" t="s">
        <v>16</v>
      </c>
      <c r="B109" s="3">
        <v>49.4</v>
      </c>
      <c r="C109" s="3">
        <v>5.9</v>
      </c>
      <c r="D109" s="3">
        <v>49.2</v>
      </c>
      <c r="E109" s="3">
        <v>3.5</v>
      </c>
      <c r="F109" s="3">
        <v>4.9000000000000004</v>
      </c>
      <c r="G109" s="3">
        <v>37.4</v>
      </c>
      <c r="H109" s="3">
        <v>25.9</v>
      </c>
      <c r="I109" s="3">
        <v>40</v>
      </c>
      <c r="J109" s="23"/>
      <c r="K109" s="23"/>
      <c r="L109" s="23"/>
      <c r="M109" s="23"/>
    </row>
    <row r="110" spans="1:13">
      <c r="A110" s="1" t="s">
        <v>17</v>
      </c>
      <c r="B110" s="3">
        <v>64.3</v>
      </c>
      <c r="C110" s="3">
        <v>7.1</v>
      </c>
      <c r="D110" s="3">
        <v>28.9</v>
      </c>
      <c r="E110" s="3">
        <v>3</v>
      </c>
      <c r="F110" s="3">
        <v>4.8</v>
      </c>
      <c r="G110" s="3">
        <v>47</v>
      </c>
      <c r="H110" s="3">
        <v>29.9</v>
      </c>
      <c r="I110" s="3">
        <v>28</v>
      </c>
      <c r="J110" s="23"/>
      <c r="K110" s="23"/>
      <c r="L110" s="23"/>
      <c r="M110" s="23"/>
    </row>
    <row r="111" spans="1:13">
      <c r="A111" s="1" t="s">
        <v>18</v>
      </c>
      <c r="B111" s="3">
        <v>81.8</v>
      </c>
      <c r="C111" s="3">
        <v>4.8</v>
      </c>
      <c r="D111" s="3">
        <v>49.7</v>
      </c>
      <c r="E111" s="3">
        <v>3.2</v>
      </c>
      <c r="F111" s="3">
        <v>2.9</v>
      </c>
      <c r="G111" s="3">
        <v>52.9</v>
      </c>
      <c r="H111" s="3">
        <v>23.8</v>
      </c>
      <c r="I111" s="3">
        <v>31</v>
      </c>
      <c r="J111" s="23"/>
      <c r="K111" s="23"/>
      <c r="L111" s="23"/>
      <c r="M111" s="23"/>
    </row>
    <row r="112" spans="1:13">
      <c r="A112" s="1" t="s">
        <v>19</v>
      </c>
      <c r="B112" s="3">
        <v>34.9</v>
      </c>
      <c r="C112" s="3">
        <v>8.3000000000000007</v>
      </c>
      <c r="D112" s="3">
        <v>84.8</v>
      </c>
      <c r="E112" s="3">
        <v>3.5</v>
      </c>
      <c r="F112" s="3">
        <v>6.6</v>
      </c>
      <c r="G112" s="3">
        <v>26.8</v>
      </c>
      <c r="H112" s="3">
        <v>42.5</v>
      </c>
      <c r="I112" s="3">
        <v>24</v>
      </c>
      <c r="J112" s="23"/>
      <c r="K112" s="23"/>
      <c r="L112" s="23"/>
      <c r="M112" s="23"/>
    </row>
    <row r="113" spans="1:13">
      <c r="A113" s="1" t="s">
        <v>20</v>
      </c>
      <c r="B113" s="3">
        <v>46.7</v>
      </c>
      <c r="C113" s="3">
        <v>5.5</v>
      </c>
      <c r="D113" s="3">
        <v>34.299999999999997</v>
      </c>
      <c r="E113" s="3">
        <v>5.3</v>
      </c>
      <c r="F113" s="3">
        <v>6.6</v>
      </c>
      <c r="G113" s="3">
        <v>27.2</v>
      </c>
      <c r="H113" s="3">
        <v>40</v>
      </c>
      <c r="I113" s="3">
        <v>39</v>
      </c>
      <c r="J113" s="23"/>
      <c r="K113" s="23"/>
      <c r="L113" s="23"/>
      <c r="M113" s="23"/>
    </row>
    <row r="114" spans="1:13">
      <c r="A114" s="1" t="s">
        <v>21</v>
      </c>
      <c r="B114" s="3">
        <v>65.900000000000006</v>
      </c>
      <c r="C114" s="3">
        <v>3.8</v>
      </c>
      <c r="D114" s="3">
        <v>84.9</v>
      </c>
      <c r="E114" s="3">
        <v>4.0999999999999996</v>
      </c>
      <c r="F114" s="3">
        <v>3.9</v>
      </c>
      <c r="G114" s="3">
        <v>33.299999999999997</v>
      </c>
      <c r="H114" s="3">
        <v>27.9</v>
      </c>
      <c r="I114" s="3">
        <v>39</v>
      </c>
      <c r="J114" s="23"/>
      <c r="K114" s="23"/>
      <c r="L114" s="23"/>
      <c r="M114" s="23"/>
    </row>
    <row r="115" spans="1:13">
      <c r="A115" s="1" t="s">
        <v>22</v>
      </c>
      <c r="B115" s="3">
        <v>92.7</v>
      </c>
      <c r="C115" s="3">
        <v>6.6</v>
      </c>
      <c r="D115" s="3">
        <v>53.4</v>
      </c>
      <c r="E115" s="3">
        <v>3.4</v>
      </c>
      <c r="F115" s="3">
        <v>6.6</v>
      </c>
      <c r="G115" s="3">
        <v>32.799999999999997</v>
      </c>
      <c r="H115" s="3">
        <v>30.9</v>
      </c>
      <c r="I115" s="3">
        <v>46</v>
      </c>
      <c r="J115" s="23"/>
      <c r="K115" s="23"/>
      <c r="L115" s="23"/>
      <c r="M115" s="23"/>
    </row>
    <row r="116" spans="1:13">
      <c r="A116" s="1" t="s">
        <v>23</v>
      </c>
      <c r="B116" s="3">
        <v>37.799999999999997</v>
      </c>
      <c r="C116" s="3">
        <v>15.2</v>
      </c>
      <c r="D116" s="3">
        <v>43.1</v>
      </c>
      <c r="E116" s="3">
        <v>3.1</v>
      </c>
      <c r="F116" s="3">
        <v>13.4</v>
      </c>
      <c r="G116" s="3">
        <v>32.1</v>
      </c>
      <c r="H116" s="3">
        <v>29.6</v>
      </c>
      <c r="I116" s="3">
        <v>48</v>
      </c>
      <c r="J116" s="23"/>
      <c r="K116" s="23"/>
      <c r="L116" s="23"/>
      <c r="M116" s="23"/>
    </row>
    <row r="117" spans="1:13">
      <c r="A117" s="1" t="s">
        <v>24</v>
      </c>
      <c r="B117" s="3">
        <v>37</v>
      </c>
      <c r="C117" s="3">
        <v>6.2</v>
      </c>
      <c r="D117" s="3">
        <v>55.9</v>
      </c>
      <c r="E117" s="3">
        <v>5</v>
      </c>
      <c r="F117" s="3">
        <v>7.3</v>
      </c>
      <c r="G117" s="3">
        <v>38.5</v>
      </c>
      <c r="H117" s="3">
        <v>35</v>
      </c>
      <c r="I117" s="3">
        <v>37</v>
      </c>
      <c r="J117" s="23"/>
      <c r="K117" s="23"/>
      <c r="L117" s="23"/>
      <c r="M117" s="23"/>
    </row>
    <row r="118" spans="1:13">
      <c r="A118" s="1" t="s">
        <v>25</v>
      </c>
      <c r="B118" s="3">
        <v>41.5</v>
      </c>
      <c r="C118" s="3">
        <v>4.5</v>
      </c>
      <c r="D118" s="3">
        <v>46.7</v>
      </c>
      <c r="E118" s="3">
        <v>5.0999999999999996</v>
      </c>
      <c r="F118" s="3">
        <v>4.3</v>
      </c>
      <c r="G118" s="3">
        <v>28.9</v>
      </c>
      <c r="H118" s="3">
        <v>41.7</v>
      </c>
      <c r="I118" s="3">
        <v>46</v>
      </c>
      <c r="J118" s="23"/>
      <c r="K118" s="23"/>
      <c r="L118" s="23"/>
      <c r="M118" s="23"/>
    </row>
    <row r="119" spans="1:13">
      <c r="A119" s="1" t="s">
        <v>26</v>
      </c>
      <c r="B119" s="3">
        <v>77.5</v>
      </c>
      <c r="C119" s="3">
        <v>6.3</v>
      </c>
      <c r="D119" s="3">
        <v>40.4</v>
      </c>
      <c r="E119" s="3">
        <v>2.5</v>
      </c>
      <c r="F119" s="3">
        <v>7.3</v>
      </c>
      <c r="G119" s="3">
        <v>38.9</v>
      </c>
      <c r="H119" s="3">
        <v>36</v>
      </c>
      <c r="I119" s="3">
        <v>35</v>
      </c>
      <c r="J119" s="23"/>
      <c r="K119" s="23"/>
      <c r="L119" s="23"/>
      <c r="M119" s="23"/>
    </row>
    <row r="120" spans="1:13">
      <c r="A120" s="1" t="s">
        <v>27</v>
      </c>
      <c r="B120" s="7">
        <v>59.9</v>
      </c>
      <c r="C120" s="7">
        <v>5.0999999999999996</v>
      </c>
      <c r="D120" s="7">
        <v>11.5</v>
      </c>
      <c r="E120" s="7">
        <v>4.3</v>
      </c>
      <c r="F120" s="7">
        <v>8.1999999999999993</v>
      </c>
      <c r="G120" s="7">
        <v>36.4</v>
      </c>
      <c r="H120" s="7">
        <v>32.5</v>
      </c>
      <c r="I120" s="3">
        <v>44</v>
      </c>
      <c r="J120" s="23"/>
      <c r="K120" s="23"/>
      <c r="L120" s="23"/>
      <c r="M120" s="23"/>
    </row>
    <row r="121" spans="1:13">
      <c r="A121" s="8" t="s">
        <v>44</v>
      </c>
      <c r="B121" s="2" t="s">
        <v>40</v>
      </c>
      <c r="C121" s="2" t="s">
        <v>40</v>
      </c>
      <c r="D121" s="2" t="s">
        <v>40</v>
      </c>
      <c r="E121" s="2" t="s">
        <v>42</v>
      </c>
      <c r="F121" s="2" t="s">
        <v>42</v>
      </c>
      <c r="G121" s="2" t="s">
        <v>40</v>
      </c>
      <c r="H121" s="2" t="s">
        <v>42</v>
      </c>
      <c r="I121" s="2" t="s">
        <v>42</v>
      </c>
      <c r="J121" s="23"/>
      <c r="K121" s="23"/>
      <c r="L121" s="23"/>
      <c r="M121" s="23"/>
    </row>
    <row r="123" spans="1:13">
      <c r="A123" s="1"/>
      <c r="B123" s="2" t="s">
        <v>0</v>
      </c>
      <c r="C123" s="2" t="s">
        <v>1</v>
      </c>
      <c r="D123" s="2" t="s">
        <v>2</v>
      </c>
      <c r="E123" s="2" t="s">
        <v>3</v>
      </c>
      <c r="F123" s="2" t="s">
        <v>4</v>
      </c>
      <c r="G123" s="2" t="s">
        <v>6</v>
      </c>
      <c r="H123" s="2" t="s">
        <v>8</v>
      </c>
      <c r="I123" s="2" t="s">
        <v>9</v>
      </c>
    </row>
    <row r="124" spans="1:13">
      <c r="A124" s="1" t="s">
        <v>12</v>
      </c>
      <c r="B124" s="25">
        <f>B105*B105</f>
        <v>7464.9600000000009</v>
      </c>
      <c r="C124" s="25">
        <f t="shared" ref="C124:I124" si="40">C105*C105</f>
        <v>79.210000000000008</v>
      </c>
      <c r="D124" s="25">
        <f t="shared" si="40"/>
        <v>2088.4900000000002</v>
      </c>
      <c r="E124" s="25">
        <f t="shared" si="40"/>
        <v>12.25</v>
      </c>
      <c r="F124" s="25">
        <f t="shared" si="40"/>
        <v>62.410000000000004</v>
      </c>
      <c r="G124" s="25">
        <f t="shared" si="40"/>
        <v>1883.56</v>
      </c>
      <c r="H124" s="25">
        <f t="shared" si="40"/>
        <v>835.20999999999992</v>
      </c>
      <c r="I124" s="25">
        <f t="shared" si="40"/>
        <v>1521</v>
      </c>
    </row>
    <row r="125" spans="1:13">
      <c r="A125" s="1" t="s">
        <v>13</v>
      </c>
      <c r="B125" s="25">
        <f t="shared" ref="B125:I125" si="41">B106*B106</f>
        <v>2256.25</v>
      </c>
      <c r="C125" s="25">
        <f t="shared" si="41"/>
        <v>44.89</v>
      </c>
      <c r="D125" s="25">
        <f t="shared" si="41"/>
        <v>696.95999999999992</v>
      </c>
      <c r="E125" s="25">
        <f t="shared" si="41"/>
        <v>18.489999999999998</v>
      </c>
      <c r="F125" s="25">
        <f t="shared" si="41"/>
        <v>33.64</v>
      </c>
      <c r="G125" s="25">
        <f t="shared" si="41"/>
        <v>948.6400000000001</v>
      </c>
      <c r="H125" s="25">
        <f t="shared" si="41"/>
        <v>1260.25</v>
      </c>
      <c r="I125" s="25">
        <f t="shared" si="41"/>
        <v>2500</v>
      </c>
    </row>
    <row r="126" spans="1:13">
      <c r="A126" s="1" t="s">
        <v>14</v>
      </c>
      <c r="B126" s="25">
        <f t="shared" ref="B126:I126" si="42">B107*B107</f>
        <v>1874.8899999999996</v>
      </c>
      <c r="C126" s="25">
        <f t="shared" si="42"/>
        <v>19.360000000000003</v>
      </c>
      <c r="D126" s="25">
        <f t="shared" si="42"/>
        <v>2652.25</v>
      </c>
      <c r="E126" s="25">
        <f t="shared" si="42"/>
        <v>23.04</v>
      </c>
      <c r="F126" s="25">
        <f t="shared" si="42"/>
        <v>54.760000000000005</v>
      </c>
      <c r="G126" s="25">
        <f t="shared" si="42"/>
        <v>1376.41</v>
      </c>
      <c r="H126" s="25">
        <f t="shared" si="42"/>
        <v>823.68999999999994</v>
      </c>
      <c r="I126" s="25">
        <f t="shared" si="42"/>
        <v>1849</v>
      </c>
    </row>
    <row r="127" spans="1:13">
      <c r="A127" s="1" t="s">
        <v>15</v>
      </c>
      <c r="B127" s="25">
        <f t="shared" ref="B127:I127" si="43">B108*B108</f>
        <v>2540.16</v>
      </c>
      <c r="C127" s="25">
        <f t="shared" si="43"/>
        <v>42.25</v>
      </c>
      <c r="D127" s="25">
        <f t="shared" si="43"/>
        <v>7191.04</v>
      </c>
      <c r="E127" s="25">
        <f t="shared" si="43"/>
        <v>13.690000000000001</v>
      </c>
      <c r="F127" s="25">
        <f t="shared" si="43"/>
        <v>33.64</v>
      </c>
      <c r="G127" s="25">
        <f t="shared" si="43"/>
        <v>552.25</v>
      </c>
      <c r="H127" s="25">
        <f t="shared" si="43"/>
        <v>2097.64</v>
      </c>
      <c r="I127" s="25">
        <f t="shared" si="43"/>
        <v>1225</v>
      </c>
    </row>
    <row r="128" spans="1:13">
      <c r="A128" s="1" t="s">
        <v>16</v>
      </c>
      <c r="B128" s="25">
        <f t="shared" ref="B128:I128" si="44">B109*B109</f>
        <v>2440.3599999999997</v>
      </c>
      <c r="C128" s="25">
        <f t="shared" si="44"/>
        <v>34.81</v>
      </c>
      <c r="D128" s="25">
        <f t="shared" si="44"/>
        <v>2420.6400000000003</v>
      </c>
      <c r="E128" s="25">
        <f t="shared" si="44"/>
        <v>12.25</v>
      </c>
      <c r="F128" s="25">
        <f t="shared" si="44"/>
        <v>24.010000000000005</v>
      </c>
      <c r="G128" s="25">
        <f t="shared" si="44"/>
        <v>1398.76</v>
      </c>
      <c r="H128" s="25">
        <f t="shared" si="44"/>
        <v>670.81</v>
      </c>
      <c r="I128" s="25">
        <f t="shared" si="44"/>
        <v>1600</v>
      </c>
    </row>
    <row r="129" spans="1:9">
      <c r="A129" s="1" t="s">
        <v>17</v>
      </c>
      <c r="B129" s="25">
        <f t="shared" ref="B129:I129" si="45">B110*B110</f>
        <v>4134.49</v>
      </c>
      <c r="C129" s="25">
        <f t="shared" si="45"/>
        <v>50.41</v>
      </c>
      <c r="D129" s="25">
        <f t="shared" si="45"/>
        <v>835.20999999999992</v>
      </c>
      <c r="E129" s="25">
        <f t="shared" si="45"/>
        <v>9</v>
      </c>
      <c r="F129" s="25">
        <f t="shared" si="45"/>
        <v>23.04</v>
      </c>
      <c r="G129" s="25">
        <f t="shared" si="45"/>
        <v>2209</v>
      </c>
      <c r="H129" s="25">
        <f t="shared" si="45"/>
        <v>894.00999999999988</v>
      </c>
      <c r="I129" s="25">
        <f t="shared" si="45"/>
        <v>784</v>
      </c>
    </row>
    <row r="130" spans="1:9">
      <c r="A130" s="1" t="s">
        <v>18</v>
      </c>
      <c r="B130" s="25">
        <f t="shared" ref="B130:I130" si="46">B111*B111</f>
        <v>6691.24</v>
      </c>
      <c r="C130" s="25">
        <f t="shared" si="46"/>
        <v>23.04</v>
      </c>
      <c r="D130" s="25">
        <f t="shared" si="46"/>
        <v>2470.09</v>
      </c>
      <c r="E130" s="25">
        <f t="shared" si="46"/>
        <v>10.240000000000002</v>
      </c>
      <c r="F130" s="25">
        <f t="shared" si="46"/>
        <v>8.41</v>
      </c>
      <c r="G130" s="25">
        <f t="shared" si="46"/>
        <v>2798.41</v>
      </c>
      <c r="H130" s="25">
        <f t="shared" si="46"/>
        <v>566.44000000000005</v>
      </c>
      <c r="I130" s="25">
        <f t="shared" si="46"/>
        <v>961</v>
      </c>
    </row>
    <row r="131" spans="1:9">
      <c r="A131" s="1" t="s">
        <v>19</v>
      </c>
      <c r="B131" s="25">
        <f t="shared" ref="B131:I131" si="47">B112*B112</f>
        <v>1218.01</v>
      </c>
      <c r="C131" s="25">
        <f t="shared" si="47"/>
        <v>68.890000000000015</v>
      </c>
      <c r="D131" s="25">
        <f t="shared" si="47"/>
        <v>7191.04</v>
      </c>
      <c r="E131" s="25">
        <f t="shared" si="47"/>
        <v>12.25</v>
      </c>
      <c r="F131" s="25">
        <f t="shared" si="47"/>
        <v>43.559999999999995</v>
      </c>
      <c r="G131" s="25">
        <f t="shared" si="47"/>
        <v>718.24</v>
      </c>
      <c r="H131" s="25">
        <f t="shared" si="47"/>
        <v>1806.25</v>
      </c>
      <c r="I131" s="25">
        <f t="shared" si="47"/>
        <v>576</v>
      </c>
    </row>
    <row r="132" spans="1:9">
      <c r="A132" s="1" t="s">
        <v>20</v>
      </c>
      <c r="B132" s="25">
        <f t="shared" ref="B132:I132" si="48">B113*B113</f>
        <v>2180.8900000000003</v>
      </c>
      <c r="C132" s="25">
        <f t="shared" si="48"/>
        <v>30.25</v>
      </c>
      <c r="D132" s="25">
        <f t="shared" si="48"/>
        <v>1176.4899999999998</v>
      </c>
      <c r="E132" s="25">
        <f t="shared" si="48"/>
        <v>28.09</v>
      </c>
      <c r="F132" s="25">
        <f t="shared" si="48"/>
        <v>43.559999999999995</v>
      </c>
      <c r="G132" s="25">
        <f t="shared" si="48"/>
        <v>739.83999999999992</v>
      </c>
      <c r="H132" s="25">
        <f t="shared" si="48"/>
        <v>1600</v>
      </c>
      <c r="I132" s="25">
        <f t="shared" si="48"/>
        <v>1521</v>
      </c>
    </row>
    <row r="133" spans="1:9">
      <c r="A133" s="1" t="s">
        <v>21</v>
      </c>
      <c r="B133" s="25">
        <f t="shared" ref="B133:I133" si="49">B114*B114</f>
        <v>4342.8100000000004</v>
      </c>
      <c r="C133" s="25">
        <f t="shared" si="49"/>
        <v>14.44</v>
      </c>
      <c r="D133" s="25">
        <f t="shared" si="49"/>
        <v>7208.0100000000011</v>
      </c>
      <c r="E133" s="25">
        <f t="shared" si="49"/>
        <v>16.809999999999999</v>
      </c>
      <c r="F133" s="25">
        <f t="shared" si="49"/>
        <v>15.209999999999999</v>
      </c>
      <c r="G133" s="25">
        <f t="shared" si="49"/>
        <v>1108.8899999999999</v>
      </c>
      <c r="H133" s="25">
        <f t="shared" si="49"/>
        <v>778.41</v>
      </c>
      <c r="I133" s="25">
        <f t="shared" si="49"/>
        <v>1521</v>
      </c>
    </row>
    <row r="134" spans="1:9">
      <c r="A134" s="1" t="s">
        <v>22</v>
      </c>
      <c r="B134" s="25">
        <f t="shared" ref="B134:I134" si="50">B115*B115</f>
        <v>8593.2900000000009</v>
      </c>
      <c r="C134" s="25">
        <f t="shared" si="50"/>
        <v>43.559999999999995</v>
      </c>
      <c r="D134" s="25">
        <f t="shared" si="50"/>
        <v>2851.56</v>
      </c>
      <c r="E134" s="25">
        <f t="shared" si="50"/>
        <v>11.559999999999999</v>
      </c>
      <c r="F134" s="25">
        <f t="shared" si="50"/>
        <v>43.559999999999995</v>
      </c>
      <c r="G134" s="25">
        <f t="shared" si="50"/>
        <v>1075.8399999999999</v>
      </c>
      <c r="H134" s="25">
        <f t="shared" si="50"/>
        <v>954.81</v>
      </c>
      <c r="I134" s="25">
        <f t="shared" si="50"/>
        <v>2116</v>
      </c>
    </row>
    <row r="135" spans="1:9">
      <c r="A135" s="1" t="s">
        <v>23</v>
      </c>
      <c r="B135" s="25">
        <f t="shared" ref="B135:I135" si="51">B116*B116</f>
        <v>1428.8399999999997</v>
      </c>
      <c r="C135" s="25">
        <f t="shared" si="51"/>
        <v>231.04</v>
      </c>
      <c r="D135" s="25">
        <f t="shared" si="51"/>
        <v>1857.6100000000001</v>
      </c>
      <c r="E135" s="25">
        <f t="shared" si="51"/>
        <v>9.6100000000000012</v>
      </c>
      <c r="F135" s="25">
        <f t="shared" si="51"/>
        <v>179.56</v>
      </c>
      <c r="G135" s="25">
        <f t="shared" si="51"/>
        <v>1030.4100000000001</v>
      </c>
      <c r="H135" s="25">
        <f t="shared" si="51"/>
        <v>876.16000000000008</v>
      </c>
      <c r="I135" s="25">
        <f t="shared" si="51"/>
        <v>2304</v>
      </c>
    </row>
    <row r="136" spans="1:9">
      <c r="A136" s="1" t="s">
        <v>24</v>
      </c>
      <c r="B136" s="25">
        <f t="shared" ref="B136:I136" si="52">B117*B117</f>
        <v>1369</v>
      </c>
      <c r="C136" s="25">
        <f t="shared" si="52"/>
        <v>38.440000000000005</v>
      </c>
      <c r="D136" s="25">
        <f t="shared" si="52"/>
        <v>3124.81</v>
      </c>
      <c r="E136" s="25">
        <f t="shared" si="52"/>
        <v>25</v>
      </c>
      <c r="F136" s="25">
        <f t="shared" si="52"/>
        <v>53.29</v>
      </c>
      <c r="G136" s="25">
        <f t="shared" si="52"/>
        <v>1482.25</v>
      </c>
      <c r="H136" s="25">
        <f t="shared" si="52"/>
        <v>1225</v>
      </c>
      <c r="I136" s="25">
        <f t="shared" si="52"/>
        <v>1369</v>
      </c>
    </row>
    <row r="137" spans="1:9">
      <c r="A137" s="1" t="s">
        <v>25</v>
      </c>
      <c r="B137" s="25">
        <f t="shared" ref="B137:I137" si="53">B118*B118</f>
        <v>1722.25</v>
      </c>
      <c r="C137" s="25">
        <f t="shared" si="53"/>
        <v>20.25</v>
      </c>
      <c r="D137" s="25">
        <f t="shared" si="53"/>
        <v>2180.8900000000003</v>
      </c>
      <c r="E137" s="25">
        <f t="shared" si="53"/>
        <v>26.009999999999998</v>
      </c>
      <c r="F137" s="25">
        <f t="shared" si="53"/>
        <v>18.489999999999998</v>
      </c>
      <c r="G137" s="25">
        <f t="shared" si="53"/>
        <v>835.20999999999992</v>
      </c>
      <c r="H137" s="25">
        <f t="shared" si="53"/>
        <v>1738.8900000000003</v>
      </c>
      <c r="I137" s="25">
        <f t="shared" si="53"/>
        <v>2116</v>
      </c>
    </row>
    <row r="138" spans="1:9">
      <c r="A138" s="1" t="s">
        <v>26</v>
      </c>
      <c r="B138" s="25">
        <f t="shared" ref="B138:I138" si="54">B119*B119</f>
        <v>6006.25</v>
      </c>
      <c r="C138" s="25">
        <f t="shared" si="54"/>
        <v>39.69</v>
      </c>
      <c r="D138" s="25">
        <f t="shared" si="54"/>
        <v>1632.1599999999999</v>
      </c>
      <c r="E138" s="25">
        <f t="shared" si="54"/>
        <v>6.25</v>
      </c>
      <c r="F138" s="25">
        <f t="shared" si="54"/>
        <v>53.29</v>
      </c>
      <c r="G138" s="25">
        <f t="shared" si="54"/>
        <v>1513.2099999999998</v>
      </c>
      <c r="H138" s="25">
        <f t="shared" si="54"/>
        <v>1296</v>
      </c>
      <c r="I138" s="25">
        <f t="shared" si="54"/>
        <v>1225</v>
      </c>
    </row>
    <row r="139" spans="1:9">
      <c r="A139" s="1" t="s">
        <v>27</v>
      </c>
      <c r="B139" s="25">
        <f t="shared" ref="B139:I139" si="55">B120*B120</f>
        <v>3588.0099999999998</v>
      </c>
      <c r="C139" s="25">
        <f t="shared" si="55"/>
        <v>26.009999999999998</v>
      </c>
      <c r="D139" s="25">
        <f t="shared" si="55"/>
        <v>132.25</v>
      </c>
      <c r="E139" s="25">
        <f t="shared" si="55"/>
        <v>18.489999999999998</v>
      </c>
      <c r="F139" s="25">
        <f t="shared" si="55"/>
        <v>67.239999999999995</v>
      </c>
      <c r="G139" s="25">
        <f t="shared" si="55"/>
        <v>1324.9599999999998</v>
      </c>
      <c r="H139" s="25">
        <f t="shared" si="55"/>
        <v>1056.25</v>
      </c>
      <c r="I139" s="25">
        <f t="shared" si="55"/>
        <v>1936</v>
      </c>
    </row>
    <row r="140" spans="1:9">
      <c r="A140" s="8" t="s">
        <v>44</v>
      </c>
      <c r="B140" s="26" t="s">
        <v>40</v>
      </c>
      <c r="C140" s="26" t="s">
        <v>40</v>
      </c>
      <c r="D140" s="26" t="s">
        <v>40</v>
      </c>
      <c r="E140" s="26" t="s">
        <v>42</v>
      </c>
      <c r="F140" s="26" t="s">
        <v>42</v>
      </c>
      <c r="G140" s="26" t="s">
        <v>40</v>
      </c>
      <c r="H140" s="26" t="s">
        <v>42</v>
      </c>
      <c r="I140" s="26" t="s">
        <v>42</v>
      </c>
    </row>
    <row r="141" spans="1:9">
      <c r="A141" s="8" t="s">
        <v>51</v>
      </c>
      <c r="B141" s="27">
        <f>SUM(B124:B139)</f>
        <v>57851.7</v>
      </c>
      <c r="C141" s="27">
        <f t="shared" ref="C141:I141" si="56">SUM(C124:C139)</f>
        <v>806.54</v>
      </c>
      <c r="D141" s="27">
        <f t="shared" si="56"/>
        <v>45709.5</v>
      </c>
      <c r="E141" s="27">
        <f t="shared" si="56"/>
        <v>253.03000000000003</v>
      </c>
      <c r="F141" s="27">
        <f t="shared" si="56"/>
        <v>757.66999999999985</v>
      </c>
      <c r="G141" s="27">
        <f t="shared" si="56"/>
        <v>20995.879999999997</v>
      </c>
      <c r="H141" s="27">
        <f t="shared" si="56"/>
        <v>18479.82</v>
      </c>
      <c r="I141" s="27">
        <f t="shared" si="56"/>
        <v>25124</v>
      </c>
    </row>
    <row r="142" spans="1:9">
      <c r="A142" s="8" t="s">
        <v>60</v>
      </c>
      <c r="B142" s="11">
        <f>SQRT(B141)</f>
        <v>240.52380339583854</v>
      </c>
      <c r="C142" s="11">
        <f t="shared" ref="C142:I142" si="57">SQRT(C141)</f>
        <v>28.39964788514111</v>
      </c>
      <c r="D142" s="11">
        <f t="shared" si="57"/>
        <v>213.79780167251488</v>
      </c>
      <c r="E142" s="11">
        <f t="shared" si="57"/>
        <v>15.906916734552929</v>
      </c>
      <c r="F142" s="11">
        <f t="shared" si="57"/>
        <v>27.525806073573936</v>
      </c>
      <c r="G142" s="11">
        <f t="shared" si="57"/>
        <v>144.89955141407444</v>
      </c>
      <c r="H142" s="11">
        <f t="shared" si="57"/>
        <v>135.94050169099717</v>
      </c>
      <c r="I142" s="11">
        <f t="shared" si="57"/>
        <v>158.50552040859648</v>
      </c>
    </row>
    <row r="145" spans="1:9">
      <c r="A145" s="1"/>
      <c r="B145" s="2" t="s">
        <v>0</v>
      </c>
      <c r="C145" s="2" t="s">
        <v>1</v>
      </c>
      <c r="D145" s="2" t="s">
        <v>2</v>
      </c>
      <c r="E145" s="2" t="s">
        <v>3</v>
      </c>
      <c r="F145" s="2" t="s">
        <v>4</v>
      </c>
      <c r="G145" s="2" t="s">
        <v>6</v>
      </c>
      <c r="H145" s="2" t="s">
        <v>8</v>
      </c>
      <c r="I145" s="2" t="s">
        <v>9</v>
      </c>
    </row>
    <row r="146" spans="1:9">
      <c r="A146" s="1" t="s">
        <v>12</v>
      </c>
      <c r="B146" s="3">
        <f>B105/B$142</f>
        <v>0.3592160059842745</v>
      </c>
      <c r="C146" s="3">
        <f t="shared" ref="C146:I147" si="58">C105/C$142</f>
        <v>0.31338416715569706</v>
      </c>
      <c r="D146" s="3">
        <f t="shared" si="58"/>
        <v>0.21375336716511731</v>
      </c>
      <c r="E146" s="3">
        <f t="shared" si="58"/>
        <v>0.22003006983731274</v>
      </c>
      <c r="F146" s="3">
        <f t="shared" si="58"/>
        <v>0.28700340251195661</v>
      </c>
      <c r="G146" s="3">
        <f t="shared" si="58"/>
        <v>0.2995178354691887</v>
      </c>
      <c r="H146" s="3">
        <f t="shared" si="58"/>
        <v>0.21259300679713425</v>
      </c>
      <c r="I146" s="3">
        <f t="shared" si="58"/>
        <v>0.24604821270240662</v>
      </c>
    </row>
    <row r="147" spans="1:9">
      <c r="A147" s="1" t="s">
        <v>13</v>
      </c>
      <c r="B147" s="3">
        <f>B106/B$142</f>
        <v>0.19748565143811386</v>
      </c>
      <c r="C147" s="3">
        <f t="shared" si="58"/>
        <v>0.23591841797114274</v>
      </c>
      <c r="D147" s="3">
        <f t="shared" si="58"/>
        <v>0.12348115739954259</v>
      </c>
      <c r="E147" s="3">
        <f t="shared" si="58"/>
        <v>0.27032265722869853</v>
      </c>
      <c r="F147" s="3">
        <f t="shared" si="58"/>
        <v>0.21071135880624661</v>
      </c>
      <c r="G147" s="3">
        <f t="shared" si="58"/>
        <v>0.21256104452652103</v>
      </c>
      <c r="H147" s="3">
        <f t="shared" si="58"/>
        <v>0.26114365886845209</v>
      </c>
      <c r="I147" s="3">
        <f t="shared" si="58"/>
        <v>0.31544642654154692</v>
      </c>
    </row>
    <row r="148" spans="1:9">
      <c r="A148" s="1" t="s">
        <v>14</v>
      </c>
      <c r="B148" s="3">
        <f t="shared" ref="B148:I148" si="59">B107/B$142</f>
        <v>0.18002376225832273</v>
      </c>
      <c r="C148" s="3">
        <f t="shared" si="59"/>
        <v>0.15493149836910866</v>
      </c>
      <c r="D148" s="3">
        <f t="shared" si="59"/>
        <v>0.24088180326047134</v>
      </c>
      <c r="E148" s="3">
        <f t="shared" si="59"/>
        <v>0.3017555243483146</v>
      </c>
      <c r="F148" s="3">
        <f t="shared" si="59"/>
        <v>0.26883863020107329</v>
      </c>
      <c r="G148" s="3">
        <f t="shared" si="59"/>
        <v>0.25603943999785489</v>
      </c>
      <c r="H148" s="3">
        <f t="shared" si="59"/>
        <v>0.21112177491618522</v>
      </c>
      <c r="I148" s="3">
        <f t="shared" si="59"/>
        <v>0.27128392682573038</v>
      </c>
    </row>
    <row r="149" spans="1:9">
      <c r="A149" s="1" t="s">
        <v>15</v>
      </c>
      <c r="B149" s="3">
        <f t="shared" ref="B149:I149" si="60">B108/B$142</f>
        <v>0.20954267015749345</v>
      </c>
      <c r="C149" s="3">
        <f t="shared" si="60"/>
        <v>0.22887607713618324</v>
      </c>
      <c r="D149" s="3">
        <f t="shared" si="60"/>
        <v>0.39663644498034889</v>
      </c>
      <c r="E149" s="3">
        <f t="shared" si="60"/>
        <v>0.23260321668515921</v>
      </c>
      <c r="F149" s="3">
        <f t="shared" si="60"/>
        <v>0.21071135880624661</v>
      </c>
      <c r="G149" s="3">
        <f t="shared" si="60"/>
        <v>0.16218131644068975</v>
      </c>
      <c r="H149" s="3">
        <f t="shared" si="60"/>
        <v>0.33691210073732691</v>
      </c>
      <c r="I149" s="3">
        <f t="shared" si="60"/>
        <v>0.22081249857908286</v>
      </c>
    </row>
    <row r="150" spans="1:9">
      <c r="A150" s="1" t="s">
        <v>16</v>
      </c>
      <c r="B150" s="3">
        <f t="shared" ref="B150:I150" si="61">B109/B$142</f>
        <v>0.20538507749563842</v>
      </c>
      <c r="C150" s="3">
        <f t="shared" si="61"/>
        <v>0.2077490546313048</v>
      </c>
      <c r="D150" s="3">
        <f t="shared" si="61"/>
        <v>0.23012397515369301</v>
      </c>
      <c r="E150" s="3">
        <f t="shared" si="61"/>
        <v>0.22003006983731274</v>
      </c>
      <c r="F150" s="3">
        <f t="shared" si="61"/>
        <v>0.17801476864665663</v>
      </c>
      <c r="G150" s="3">
        <f t="shared" si="61"/>
        <v>0.25810983978220409</v>
      </c>
      <c r="H150" s="3">
        <f t="shared" si="61"/>
        <v>0.19052452858289884</v>
      </c>
      <c r="I150" s="3">
        <f t="shared" si="61"/>
        <v>0.25235714123323755</v>
      </c>
    </row>
    <row r="151" spans="1:9">
      <c r="A151" s="1" t="s">
        <v>17</v>
      </c>
      <c r="B151" s="3">
        <f t="shared" ref="B151:I151" si="62">B110/B$142</f>
        <v>0.26733320815727835</v>
      </c>
      <c r="C151" s="3">
        <f t="shared" si="62"/>
        <v>0.25000309964106165</v>
      </c>
      <c r="D151" s="3">
        <f t="shared" si="62"/>
        <v>0.1351744488199538</v>
      </c>
      <c r="E151" s="3">
        <f t="shared" si="62"/>
        <v>0.18859720271769664</v>
      </c>
      <c r="F151" s="3">
        <f t="shared" si="62"/>
        <v>0.17438181418447996</v>
      </c>
      <c r="G151" s="3">
        <f t="shared" si="62"/>
        <v>0.32436263288137951</v>
      </c>
      <c r="H151" s="3">
        <f t="shared" si="62"/>
        <v>0.21994916620187938</v>
      </c>
      <c r="I151" s="3">
        <f t="shared" si="62"/>
        <v>0.17664999886326629</v>
      </c>
    </row>
    <row r="152" spans="1:9">
      <c r="A152" s="1" t="s">
        <v>18</v>
      </c>
      <c r="B152" s="3">
        <f t="shared" ref="B152:I152" si="63">B111/B$142</f>
        <v>0.34009107973974134</v>
      </c>
      <c r="C152" s="3">
        <f t="shared" si="63"/>
        <v>0.16901618003902763</v>
      </c>
      <c r="D152" s="3">
        <f t="shared" si="63"/>
        <v>0.23246263343777526</v>
      </c>
      <c r="E152" s="3">
        <f t="shared" si="63"/>
        <v>0.20117034956554311</v>
      </c>
      <c r="F152" s="3">
        <f t="shared" si="63"/>
        <v>0.10535567940312331</v>
      </c>
      <c r="G152" s="3">
        <f t="shared" si="63"/>
        <v>0.36508049530691433</v>
      </c>
      <c r="H152" s="3">
        <f t="shared" si="63"/>
        <v>0.17507659383293409</v>
      </c>
      <c r="I152" s="3">
        <f t="shared" si="63"/>
        <v>0.1955767844557591</v>
      </c>
    </row>
    <row r="153" spans="1:9">
      <c r="A153" s="1" t="s">
        <v>19</v>
      </c>
      <c r="B153" s="3">
        <f t="shared" ref="B153:I153" si="64">B112/B$142</f>
        <v>0.14509998389874051</v>
      </c>
      <c r="C153" s="3">
        <f t="shared" si="64"/>
        <v>0.29225714465081865</v>
      </c>
      <c r="D153" s="3">
        <f t="shared" si="64"/>
        <v>0.39663644498034889</v>
      </c>
      <c r="E153" s="3">
        <f t="shared" si="64"/>
        <v>0.22003006983731274</v>
      </c>
      <c r="F153" s="3">
        <f t="shared" si="64"/>
        <v>0.23977499450365994</v>
      </c>
      <c r="G153" s="3">
        <f t="shared" si="64"/>
        <v>0.18495571406853129</v>
      </c>
      <c r="H153" s="3">
        <f t="shared" si="64"/>
        <v>0.31263677470166801</v>
      </c>
      <c r="I153" s="3">
        <f t="shared" si="64"/>
        <v>0.15141428473994253</v>
      </c>
    </row>
    <row r="154" spans="1:9">
      <c r="A154" s="1" t="s">
        <v>20</v>
      </c>
      <c r="B154" s="3">
        <f t="shared" ref="B154:I154" si="65">B113/B$142</f>
        <v>0.19415957730862987</v>
      </c>
      <c r="C154" s="3">
        <f t="shared" si="65"/>
        <v>0.19366437296138581</v>
      </c>
      <c r="D154" s="3">
        <f t="shared" si="65"/>
        <v>0.16043195828804208</v>
      </c>
      <c r="E154" s="3">
        <f t="shared" si="65"/>
        <v>0.33318839146793072</v>
      </c>
      <c r="F154" s="3">
        <f t="shared" si="65"/>
        <v>0.23977499450365994</v>
      </c>
      <c r="G154" s="3">
        <f t="shared" si="65"/>
        <v>0.18771624711433027</v>
      </c>
      <c r="H154" s="3">
        <f t="shared" si="65"/>
        <v>0.2942463761898052</v>
      </c>
      <c r="I154" s="3">
        <f t="shared" si="65"/>
        <v>0.24604821270240662</v>
      </c>
    </row>
    <row r="155" spans="1:9">
      <c r="A155" s="1" t="s">
        <v>21</v>
      </c>
      <c r="B155" s="3">
        <f t="shared" ref="B155:I155" si="66">B114/B$142</f>
        <v>0.27398535641624644</v>
      </c>
      <c r="C155" s="3">
        <f t="shared" si="66"/>
        <v>0.13380447586423019</v>
      </c>
      <c r="D155" s="3">
        <f t="shared" si="66"/>
        <v>0.39710417663716541</v>
      </c>
      <c r="E155" s="3">
        <f t="shared" si="66"/>
        <v>0.25774951038085209</v>
      </c>
      <c r="F155" s="3">
        <f t="shared" si="66"/>
        <v>0.14168522402488998</v>
      </c>
      <c r="G155" s="3">
        <f t="shared" si="66"/>
        <v>0.22981437606276461</v>
      </c>
      <c r="H155" s="3">
        <f t="shared" si="66"/>
        <v>0.20523684739238909</v>
      </c>
      <c r="I155" s="3">
        <f t="shared" si="66"/>
        <v>0.24604821270240662</v>
      </c>
    </row>
    <row r="156" spans="1:9">
      <c r="A156" s="1" t="s">
        <v>22</v>
      </c>
      <c r="B156" s="3">
        <f t="shared" ref="B156:I156" si="67">B115/B$142</f>
        <v>0.38540883975396117</v>
      </c>
      <c r="C156" s="3">
        <f t="shared" si="67"/>
        <v>0.23239724755366298</v>
      </c>
      <c r="D156" s="3">
        <f t="shared" si="67"/>
        <v>0.24976870473998386</v>
      </c>
      <c r="E156" s="3">
        <f t="shared" si="67"/>
        <v>0.21374349641338952</v>
      </c>
      <c r="F156" s="3">
        <f t="shared" si="67"/>
        <v>0.23977499450365994</v>
      </c>
      <c r="G156" s="3">
        <f t="shared" si="67"/>
        <v>0.2263637097555159</v>
      </c>
      <c r="H156" s="3">
        <f t="shared" si="67"/>
        <v>0.2273053256066245</v>
      </c>
      <c r="I156" s="3">
        <f t="shared" si="67"/>
        <v>0.29021071241822322</v>
      </c>
    </row>
    <row r="157" spans="1:9">
      <c r="A157" s="1" t="s">
        <v>23</v>
      </c>
      <c r="B157" s="3">
        <f t="shared" ref="B157:I157" si="68">B116/B$142</f>
        <v>0.15715700261812007</v>
      </c>
      <c r="C157" s="3">
        <f t="shared" si="68"/>
        <v>0.53521790345692077</v>
      </c>
      <c r="D157" s="3">
        <f t="shared" si="68"/>
        <v>0.20159234408788962</v>
      </c>
      <c r="E157" s="3">
        <f t="shared" si="68"/>
        <v>0.19488377614161986</v>
      </c>
      <c r="F157" s="3">
        <f t="shared" si="68"/>
        <v>0.48681589793167324</v>
      </c>
      <c r="G157" s="3">
        <f t="shared" si="68"/>
        <v>0.22153277692536771</v>
      </c>
      <c r="H157" s="3">
        <f t="shared" si="68"/>
        <v>0.21774231838045585</v>
      </c>
      <c r="I157" s="3">
        <f t="shared" si="68"/>
        <v>0.30282856947988507</v>
      </c>
    </row>
    <row r="158" spans="1:9">
      <c r="A158" s="1" t="s">
        <v>24</v>
      </c>
      <c r="B158" s="3">
        <f t="shared" ref="B158:I158" si="69">B117/B$142</f>
        <v>0.15383092848863608</v>
      </c>
      <c r="C158" s="3">
        <f t="shared" si="69"/>
        <v>0.21831256588374401</v>
      </c>
      <c r="D158" s="3">
        <f t="shared" si="69"/>
        <v>0.26146199616039512</v>
      </c>
      <c r="E158" s="3">
        <f t="shared" si="69"/>
        <v>0.31432867119616109</v>
      </c>
      <c r="F158" s="3">
        <f t="shared" si="69"/>
        <v>0.26520567573889658</v>
      </c>
      <c r="G158" s="3">
        <f t="shared" si="69"/>
        <v>0.26570130565815131</v>
      </c>
      <c r="H158" s="3">
        <f t="shared" si="69"/>
        <v>0.25746557916607954</v>
      </c>
      <c r="I158" s="3">
        <f t="shared" si="69"/>
        <v>0.23343035564074474</v>
      </c>
    </row>
    <row r="159" spans="1:9">
      <c r="A159" s="1" t="s">
        <v>25</v>
      </c>
      <c r="B159" s="3">
        <f t="shared" ref="B159:I159" si="70">B118/B$142</f>
        <v>0.17254009546698371</v>
      </c>
      <c r="C159" s="3">
        <f t="shared" si="70"/>
        <v>0.1584526687865884</v>
      </c>
      <c r="D159" s="3">
        <f t="shared" si="70"/>
        <v>0.21843068373328178</v>
      </c>
      <c r="E159" s="3">
        <f t="shared" si="70"/>
        <v>0.32061524462008428</v>
      </c>
      <c r="F159" s="3">
        <f t="shared" si="70"/>
        <v>0.15621704187359661</v>
      </c>
      <c r="G159" s="3">
        <f t="shared" si="70"/>
        <v>0.19944851255897589</v>
      </c>
      <c r="H159" s="3">
        <f t="shared" si="70"/>
        <v>0.30675184717787191</v>
      </c>
      <c r="I159" s="3">
        <f t="shared" si="70"/>
        <v>0.29021071241822322</v>
      </c>
    </row>
    <row r="160" spans="1:9">
      <c r="A160" s="1" t="s">
        <v>26</v>
      </c>
      <c r="B160" s="3">
        <f t="shared" ref="B160:I160" si="71">B119/B$142</f>
        <v>0.32221343129376473</v>
      </c>
      <c r="C160" s="3">
        <f t="shared" si="71"/>
        <v>0.22183373630122374</v>
      </c>
      <c r="D160" s="3">
        <f t="shared" si="71"/>
        <v>0.18896358935384547</v>
      </c>
      <c r="E160" s="3">
        <f t="shared" si="71"/>
        <v>0.15716433559808055</v>
      </c>
      <c r="F160" s="3">
        <f t="shared" si="71"/>
        <v>0.26520567573889658</v>
      </c>
      <c r="G160" s="3">
        <f t="shared" si="71"/>
        <v>0.26846183870395024</v>
      </c>
      <c r="H160" s="3">
        <f t="shared" si="71"/>
        <v>0.26482173857082464</v>
      </c>
      <c r="I160" s="3">
        <f t="shared" si="71"/>
        <v>0.22081249857908286</v>
      </c>
    </row>
    <row r="161" spans="1:12">
      <c r="A161" s="1" t="s">
        <v>27</v>
      </c>
      <c r="B161" s="3">
        <f t="shared" ref="B161:I161" si="72">B120/B$142</f>
        <v>0.24903980044511623</v>
      </c>
      <c r="C161" s="3">
        <f t="shared" si="72"/>
        <v>0.17957969129146684</v>
      </c>
      <c r="D161" s="3">
        <f t="shared" si="72"/>
        <v>5.3789140533891659E-2</v>
      </c>
      <c r="E161" s="3">
        <f t="shared" si="72"/>
        <v>0.27032265722869853</v>
      </c>
      <c r="F161" s="3">
        <f t="shared" si="72"/>
        <v>0.29790226589848656</v>
      </c>
      <c r="G161" s="3">
        <f t="shared" si="72"/>
        <v>0.25120850716770665</v>
      </c>
      <c r="H161" s="3">
        <f t="shared" si="72"/>
        <v>0.23907518065421671</v>
      </c>
      <c r="I161" s="3">
        <f t="shared" si="72"/>
        <v>0.27759285535656131</v>
      </c>
    </row>
    <row r="162" spans="1:12">
      <c r="A162" s="8" t="s">
        <v>44</v>
      </c>
      <c r="B162" s="2" t="s">
        <v>40</v>
      </c>
      <c r="C162" s="2" t="s">
        <v>40</v>
      </c>
      <c r="D162" s="2" t="s">
        <v>40</v>
      </c>
      <c r="E162" s="2" t="s">
        <v>42</v>
      </c>
      <c r="F162" s="2" t="s">
        <v>42</v>
      </c>
      <c r="G162" s="2" t="s">
        <v>40</v>
      </c>
      <c r="H162" s="2" t="s">
        <v>42</v>
      </c>
      <c r="I162" s="2" t="s">
        <v>42</v>
      </c>
    </row>
    <row r="163" spans="1:12">
      <c r="A163" s="30" t="s">
        <v>61</v>
      </c>
      <c r="B163" s="29">
        <f>MAX(B146:B161)</f>
        <v>0.38540883975396117</v>
      </c>
      <c r="C163" s="29">
        <f>MAX(C146:C161)</f>
        <v>0.53521790345692077</v>
      </c>
      <c r="D163" s="29">
        <f>MAX(D146:D161)</f>
        <v>0.39710417663716541</v>
      </c>
      <c r="E163" s="29">
        <f>MIN(E146:E161)</f>
        <v>0.15716433559808055</v>
      </c>
      <c r="F163" s="29">
        <f>MIN(F146:F161)</f>
        <v>0.10535567940312331</v>
      </c>
      <c r="G163" s="29">
        <f>MAX(G146:G161)</f>
        <v>0.36508049530691433</v>
      </c>
      <c r="H163" s="29">
        <f>MIN(H146:H161)</f>
        <v>0.17507659383293409</v>
      </c>
      <c r="I163" s="29">
        <f>MIN(I146:I161)</f>
        <v>0.15141428473994253</v>
      </c>
    </row>
    <row r="164" spans="1:12">
      <c r="A164" s="32" t="s">
        <v>62</v>
      </c>
      <c r="B164" s="33">
        <f>MIN(B147:B162)</f>
        <v>0.14509998389874051</v>
      </c>
      <c r="C164" s="33">
        <f>MIN(C147:C162)</f>
        <v>0.13380447586423019</v>
      </c>
      <c r="D164" s="33">
        <f>MIN(D147:D162)</f>
        <v>5.3789140533891659E-2</v>
      </c>
      <c r="E164" s="33">
        <f>MAX(E147:E162)</f>
        <v>0.33318839146793072</v>
      </c>
      <c r="F164" s="33">
        <f>MAX(F147:F162)</f>
        <v>0.48681589793167324</v>
      </c>
      <c r="G164" s="33">
        <f>MIN(G147:G162)</f>
        <v>0.16218131644068975</v>
      </c>
      <c r="H164" s="33">
        <f>MAX(H147:H162)</f>
        <v>0.33691210073732691</v>
      </c>
      <c r="I164" s="33">
        <f>MAX(I147:I162)</f>
        <v>0.31544642654154692</v>
      </c>
    </row>
    <row r="167" spans="1:12">
      <c r="A167" s="31" t="s">
        <v>66</v>
      </c>
      <c r="B167" s="2" t="s">
        <v>0</v>
      </c>
      <c r="C167" s="2" t="s">
        <v>1</v>
      </c>
      <c r="D167" s="2" t="s">
        <v>2</v>
      </c>
      <c r="E167" s="2" t="s">
        <v>3</v>
      </c>
      <c r="F167" s="2" t="s">
        <v>4</v>
      </c>
      <c r="G167" s="2" t="s">
        <v>6</v>
      </c>
      <c r="H167" s="2" t="s">
        <v>8</v>
      </c>
      <c r="I167" s="2" t="s">
        <v>9</v>
      </c>
      <c r="J167" s="19" t="s">
        <v>63</v>
      </c>
      <c r="K167" s="19" t="s">
        <v>66</v>
      </c>
      <c r="L167" s="19" t="s">
        <v>65</v>
      </c>
    </row>
    <row r="168" spans="1:12">
      <c r="A168" s="1" t="s">
        <v>12</v>
      </c>
      <c r="B168" s="28">
        <f>(B146-B$163)^2</f>
        <v>6.8606454088643862E-4</v>
      </c>
      <c r="C168" s="28">
        <f t="shared" ref="C168:I168" si="73">(C146-C$163)^2</f>
        <v>4.921020656136086E-2</v>
      </c>
      <c r="D168" s="28">
        <f t="shared" si="73"/>
        <v>3.3617519334055282E-2</v>
      </c>
      <c r="E168" s="28">
        <f t="shared" si="73"/>
        <v>3.9521005414377714E-3</v>
      </c>
      <c r="F168" s="28">
        <f t="shared" si="73"/>
        <v>3.2995895310623378E-2</v>
      </c>
      <c r="G168" s="28">
        <f t="shared" si="73"/>
        <v>4.2984623649973217E-3</v>
      </c>
      <c r="H168" s="28">
        <f t="shared" si="73"/>
        <v>1.4074812417004061E-3</v>
      </c>
      <c r="I168" s="28">
        <f t="shared" si="73"/>
        <v>8.9555803216048429E-3</v>
      </c>
      <c r="J168" s="36">
        <f>SUM(B168:I168)</f>
        <v>0.13512331021666632</v>
      </c>
      <c r="K168" s="34">
        <f>SQRT(J168)</f>
        <v>0.36759122706705927</v>
      </c>
      <c r="L168">
        <f>K168/(J168+J188)</f>
        <v>1.1116594815965533</v>
      </c>
    </row>
    <row r="169" spans="1:12">
      <c r="A169" s="1" t="s">
        <v>13</v>
      </c>
      <c r="B169" s="28">
        <f t="shared" ref="B169:I169" si="74">(B147-B$163)^2</f>
        <v>3.5315124706793412E-2</v>
      </c>
      <c r="C169" s="28">
        <f t="shared" si="74"/>
        <v>8.9580182012051437E-2</v>
      </c>
      <c r="D169" s="28">
        <f t="shared" si="74"/>
        <v>7.4869556656712521E-2</v>
      </c>
      <c r="E169" s="28">
        <f t="shared" si="74"/>
        <v>1.2804805754258386E-2</v>
      </c>
      <c r="F169" s="28">
        <f t="shared" si="74"/>
        <v>1.1099819182493701E-2</v>
      </c>
      <c r="G169" s="28">
        <f t="shared" si="74"/>
        <v>2.3262182866352815E-2</v>
      </c>
      <c r="H169" s="28">
        <f t="shared" si="74"/>
        <v>7.4075396838280856E-3</v>
      </c>
      <c r="I169" s="28">
        <f t="shared" si="74"/>
        <v>2.6906543544021649E-2</v>
      </c>
      <c r="J169" s="36">
        <f t="shared" ref="J169:J184" si="75">SUM(B169:I169)</f>
        <v>0.28124575440651201</v>
      </c>
      <c r="K169" s="34">
        <f t="shared" ref="K169:K184" si="76">SQRT(J169)</f>
        <v>0.53032608309087725</v>
      </c>
      <c r="L169">
        <f t="shared" ref="L169:L184" si="77">K169/(J169+J189)</f>
        <v>1.3677397202161536</v>
      </c>
    </row>
    <row r="170" spans="1:12">
      <c r="A170" s="1" t="s">
        <v>14</v>
      </c>
      <c r="B170" s="28">
        <f t="shared" ref="B170:I170" si="78">(B148-B$163)^2</f>
        <v>4.2183030057889412E-2</v>
      </c>
      <c r="C170" s="28">
        <f t="shared" si="78"/>
        <v>0.14461774989461151</v>
      </c>
      <c r="D170" s="28">
        <f t="shared" si="78"/>
        <v>2.4405429943447209E-2</v>
      </c>
      <c r="E170" s="28">
        <f t="shared" si="78"/>
        <v>2.090661186420581E-2</v>
      </c>
      <c r="F170" s="28">
        <f t="shared" si="78"/>
        <v>2.6726675201604939E-2</v>
      </c>
      <c r="G170" s="28">
        <f t="shared" si="78"/>
        <v>1.188995174291336E-2</v>
      </c>
      <c r="H170" s="28">
        <f t="shared" si="78"/>
        <v>1.2992550793243657E-3</v>
      </c>
      <c r="I170" s="28">
        <f t="shared" si="78"/>
        <v>1.4368731093774881E-2</v>
      </c>
      <c r="J170" s="36">
        <f t="shared" si="75"/>
        <v>0.28639743487777153</v>
      </c>
      <c r="K170" s="34">
        <f t="shared" si="76"/>
        <v>0.53516112982705644</v>
      </c>
      <c r="L170">
        <f t="shared" si="77"/>
        <v>1.3441122370388068</v>
      </c>
    </row>
    <row r="171" spans="1:12">
      <c r="A171" s="1" t="s">
        <v>15</v>
      </c>
      <c r="B171" s="28">
        <f t="shared" ref="B171:I171" si="79">(B149-B$163)^2</f>
        <v>3.0928909608533547E-2</v>
      </c>
      <c r="C171" s="28">
        <f t="shared" si="79"/>
        <v>9.3845314553524919E-2</v>
      </c>
      <c r="D171" s="28">
        <f t="shared" si="79"/>
        <v>2.1877290278832389E-7</v>
      </c>
      <c r="E171" s="28">
        <f t="shared" si="79"/>
        <v>5.6910247796703945E-3</v>
      </c>
      <c r="F171" s="28">
        <f t="shared" si="79"/>
        <v>1.1099819182493701E-2</v>
      </c>
      <c r="G171" s="28">
        <f t="shared" si="79"/>
        <v>4.1168076784588191E-2</v>
      </c>
      <c r="H171" s="28">
        <f t="shared" si="79"/>
        <v>2.6190731295001778E-2</v>
      </c>
      <c r="I171" s="28">
        <f t="shared" si="79"/>
        <v>4.8161120840630482E-3</v>
      </c>
      <c r="J171" s="36">
        <f t="shared" si="75"/>
        <v>0.21374020706077837</v>
      </c>
      <c r="K171" s="34">
        <f t="shared" si="76"/>
        <v>0.46232045927124876</v>
      </c>
      <c r="L171">
        <f t="shared" si="77"/>
        <v>1.051247669570075</v>
      </c>
    </row>
    <row r="172" spans="1:12">
      <c r="A172" s="1" t="s">
        <v>16</v>
      </c>
      <c r="B172" s="28">
        <f t="shared" ref="B172:I172" si="80">(B150-B$163)^2</f>
        <v>3.2408554977641113E-2</v>
      </c>
      <c r="C172" s="28">
        <f t="shared" si="80"/>
        <v>0.10723584695117415</v>
      </c>
      <c r="D172" s="28">
        <f t="shared" si="80"/>
        <v>2.7882387687461038E-2</v>
      </c>
      <c r="E172" s="28">
        <f t="shared" si="80"/>
        <v>3.9521005414377714E-3</v>
      </c>
      <c r="F172" s="28">
        <f t="shared" si="80"/>
        <v>5.2793432496997406E-3</v>
      </c>
      <c r="G172" s="28">
        <f t="shared" si="80"/>
        <v>1.1442721143386222E-2</v>
      </c>
      <c r="H172" s="28">
        <f t="shared" si="80"/>
        <v>2.3863868803916858E-4</v>
      </c>
      <c r="I172" s="28">
        <f t="shared" si="80"/>
        <v>1.0189460277025952E-2</v>
      </c>
      <c r="J172" s="36">
        <f t="shared" si="75"/>
        <v>0.19862905351586516</v>
      </c>
      <c r="K172" s="34">
        <f t="shared" si="76"/>
        <v>0.44567819501952882</v>
      </c>
      <c r="L172">
        <f t="shared" si="77"/>
        <v>1.1679200288853315</v>
      </c>
    </row>
    <row r="173" spans="1:12">
      <c r="A173" s="1" t="s">
        <v>17</v>
      </c>
      <c r="B173" s="28">
        <f t="shared" ref="B173:I173" si="81">(B151-B$163)^2</f>
        <v>1.3941854776955564E-2</v>
      </c>
      <c r="C173" s="28">
        <f t="shared" si="81"/>
        <v>8.1347484315719004E-2</v>
      </c>
      <c r="D173" s="28">
        <f t="shared" si="81"/>
        <v>6.8607182314398538E-2</v>
      </c>
      <c r="E173" s="28">
        <f t="shared" si="81"/>
        <v>9.8802513535944285E-4</v>
      </c>
      <c r="F173" s="28">
        <f t="shared" si="81"/>
        <v>4.7646072828540142E-3</v>
      </c>
      <c r="G173" s="28">
        <f t="shared" si="81"/>
        <v>1.6579443205047807E-3</v>
      </c>
      <c r="H173" s="28">
        <f t="shared" si="81"/>
        <v>2.0135477510062325E-3</v>
      </c>
      <c r="I173" s="28">
        <f t="shared" si="81"/>
        <v>6.368412673141223E-4</v>
      </c>
      <c r="J173" s="36">
        <f t="shared" si="75"/>
        <v>0.17395748716411172</v>
      </c>
      <c r="K173" s="34">
        <f t="shared" si="76"/>
        <v>0.41708211081765628</v>
      </c>
      <c r="L173">
        <f t="shared" si="77"/>
        <v>1.0783073151254761</v>
      </c>
    </row>
    <row r="174" spans="1:12">
      <c r="A174" s="1" t="s">
        <v>18</v>
      </c>
      <c r="B174" s="28">
        <f t="shared" ref="B174:I174" si="82">(B152-B$163)^2</f>
        <v>2.0536993727064217E-3</v>
      </c>
      <c r="C174" s="28">
        <f t="shared" si="82"/>
        <v>0.13410370223423509</v>
      </c>
      <c r="D174" s="28">
        <f t="shared" si="82"/>
        <v>2.7106837747076652E-2</v>
      </c>
      <c r="E174" s="28">
        <f t="shared" si="82"/>
        <v>1.9365292653045103E-3</v>
      </c>
      <c r="F174" s="28">
        <f t="shared" si="82"/>
        <v>0</v>
      </c>
      <c r="G174" s="28">
        <f t="shared" si="82"/>
        <v>0</v>
      </c>
      <c r="H174" s="28">
        <f t="shared" si="82"/>
        <v>0</v>
      </c>
      <c r="I174" s="28">
        <f t="shared" si="82"/>
        <v>1.9503263811494983E-3</v>
      </c>
      <c r="J174" s="36">
        <f t="shared" si="75"/>
        <v>0.16715109500047218</v>
      </c>
      <c r="K174" s="34">
        <f t="shared" si="76"/>
        <v>0.40884116108884166</v>
      </c>
      <c r="L174">
        <f t="shared" si="77"/>
        <v>0.84645343611669344</v>
      </c>
    </row>
    <row r="175" spans="1:12">
      <c r="A175" s="1" t="s">
        <v>19</v>
      </c>
      <c r="B175" s="28">
        <f t="shared" ref="B175:I175" si="83">(B153-B$163)^2</f>
        <v>5.7748346202445219E-2</v>
      </c>
      <c r="C175" s="28">
        <f t="shared" si="83"/>
        <v>5.9029930319636936E-2</v>
      </c>
      <c r="D175" s="28">
        <f t="shared" si="83"/>
        <v>2.1877290278832389E-7</v>
      </c>
      <c r="E175" s="28">
        <f t="shared" si="83"/>
        <v>3.9521005414377714E-3</v>
      </c>
      <c r="F175" s="28">
        <f t="shared" si="83"/>
        <v>1.8068552272097353E-2</v>
      </c>
      <c r="G175" s="28">
        <f t="shared" si="83"/>
        <v>3.244493681617535E-2</v>
      </c>
      <c r="H175" s="28">
        <f t="shared" si="83"/>
        <v>1.8922803360638792E-2</v>
      </c>
      <c r="I175" s="28">
        <f t="shared" si="83"/>
        <v>0</v>
      </c>
      <c r="J175" s="36">
        <f t="shared" si="75"/>
        <v>0.19016688828533421</v>
      </c>
      <c r="K175" s="34">
        <f t="shared" si="76"/>
        <v>0.43608128632782928</v>
      </c>
      <c r="L175">
        <f t="shared" si="77"/>
        <v>1.0032538792771106</v>
      </c>
    </row>
    <row r="176" spans="1:12">
      <c r="A176" s="1" t="s">
        <v>20</v>
      </c>
      <c r="B176" s="28">
        <f t="shared" ref="B176:I176" si="84">(B154-B$163)^2</f>
        <v>3.657628038588321E-2</v>
      </c>
      <c r="C176" s="28">
        <f t="shared" si="84"/>
        <v>0.11665881419396432</v>
      </c>
      <c r="D176" s="28">
        <f t="shared" si="84"/>
        <v>5.6013738938295109E-2</v>
      </c>
      <c r="E176" s="28">
        <f t="shared" si="84"/>
        <v>3.0984468244872138E-2</v>
      </c>
      <c r="F176" s="28">
        <f t="shared" si="84"/>
        <v>1.8068552272097353E-2</v>
      </c>
      <c r="G176" s="28">
        <f t="shared" si="84"/>
        <v>3.1458076536920558E-2</v>
      </c>
      <c r="H176" s="28">
        <f t="shared" si="84"/>
        <v>1.420143702698403E-2</v>
      </c>
      <c r="I176" s="28">
        <f t="shared" si="84"/>
        <v>8.9555803216048429E-3</v>
      </c>
      <c r="J176" s="36">
        <f t="shared" si="75"/>
        <v>0.31291694792062152</v>
      </c>
      <c r="K176" s="34">
        <f t="shared" si="76"/>
        <v>0.55938979962153534</v>
      </c>
      <c r="L176">
        <f t="shared" si="77"/>
        <v>1.4033954833127389</v>
      </c>
    </row>
    <row r="177" spans="1:12">
      <c r="A177" s="1" t="s">
        <v>21</v>
      </c>
      <c r="B177" s="28">
        <f t="shared" ref="B177:I177" si="85">(B155-B$163)^2</f>
        <v>1.2415192639109993E-2</v>
      </c>
      <c r="C177" s="28">
        <f t="shared" si="85"/>
        <v>0.16113273985171225</v>
      </c>
      <c r="D177" s="28">
        <f t="shared" si="85"/>
        <v>0</v>
      </c>
      <c r="E177" s="28">
        <f t="shared" si="85"/>
        <v>1.0117377386080701E-2</v>
      </c>
      <c r="F177" s="28">
        <f t="shared" si="85"/>
        <v>1.3198358124249356E-3</v>
      </c>
      <c r="G177" s="28">
        <f t="shared" si="85"/>
        <v>1.8296923015372529E-2</v>
      </c>
      <c r="H177" s="28">
        <f t="shared" si="85"/>
        <v>9.0964089477061846E-4</v>
      </c>
      <c r="I177" s="28">
        <f t="shared" si="85"/>
        <v>8.9555803216048429E-3</v>
      </c>
      <c r="J177" s="36">
        <f t="shared" si="75"/>
        <v>0.21314728992107584</v>
      </c>
      <c r="K177" s="34">
        <f t="shared" si="76"/>
        <v>0.46167877352232239</v>
      </c>
      <c r="L177">
        <f t="shared" si="77"/>
        <v>0.92491350087830926</v>
      </c>
    </row>
    <row r="178" spans="1:12">
      <c r="A178" s="1" t="s">
        <v>22</v>
      </c>
      <c r="B178" s="28">
        <f t="shared" ref="B178:I178" si="86">(B156-B$163)^2</f>
        <v>0</v>
      </c>
      <c r="C178" s="28">
        <f t="shared" si="86"/>
        <v>9.1700349641679266E-2</v>
      </c>
      <c r="D178" s="28">
        <f t="shared" si="86"/>
        <v>2.1707741279165173E-2</v>
      </c>
      <c r="E178" s="28">
        <f t="shared" si="86"/>
        <v>3.2012014385645947E-3</v>
      </c>
      <c r="F178" s="28">
        <f t="shared" si="86"/>
        <v>1.8068552272097353E-2</v>
      </c>
      <c r="G178" s="28">
        <f t="shared" si="86"/>
        <v>1.9242346593712663E-2</v>
      </c>
      <c r="H178" s="28">
        <f t="shared" si="86"/>
        <v>2.727840422688099E-3</v>
      </c>
      <c r="I178" s="28">
        <f t="shared" si="86"/>
        <v>1.92644483362522E-2</v>
      </c>
      <c r="J178" s="36">
        <f t="shared" si="75"/>
        <v>0.17591247998415935</v>
      </c>
      <c r="K178" s="34">
        <f t="shared" si="76"/>
        <v>0.41941921747120664</v>
      </c>
      <c r="L178">
        <f t="shared" si="77"/>
        <v>1.1218751876528341</v>
      </c>
    </row>
    <row r="179" spans="1:12">
      <c r="A179" s="1" t="s">
        <v>23</v>
      </c>
      <c r="B179" s="28">
        <f t="shared" ref="B179:I179" si="87">(B157-B$163)^2</f>
        <v>5.2098901155886529E-2</v>
      </c>
      <c r="C179" s="28">
        <f t="shared" si="87"/>
        <v>0</v>
      </c>
      <c r="D179" s="28">
        <f t="shared" si="87"/>
        <v>3.8224876666776056E-2</v>
      </c>
      <c r="E179" s="28">
        <f t="shared" si="87"/>
        <v>1.4227561949175978E-3</v>
      </c>
      <c r="F179" s="28">
        <f t="shared" si="87"/>
        <v>0.14551189831984906</v>
      </c>
      <c r="G179" s="28">
        <f t="shared" si="87"/>
        <v>2.0605947452547818E-2</v>
      </c>
      <c r="H179" s="28">
        <f t="shared" si="87"/>
        <v>1.8203640511650014E-3</v>
      </c>
      <c r="I179" s="28">
        <f t="shared" si="87"/>
        <v>2.2926285623308396E-2</v>
      </c>
      <c r="J179" s="36">
        <f t="shared" si="75"/>
        <v>0.28261102946445044</v>
      </c>
      <c r="K179" s="34">
        <f t="shared" si="76"/>
        <v>0.53161172811032908</v>
      </c>
      <c r="L179">
        <f t="shared" si="77"/>
        <v>1.0574154163148672</v>
      </c>
    </row>
    <row r="180" spans="1:12">
      <c r="A180" s="1" t="s">
        <v>24</v>
      </c>
      <c r="B180" s="28">
        <f t="shared" ref="B180:I180" si="88">(B158-B$163)^2</f>
        <v>5.3628328986010783E-2</v>
      </c>
      <c r="C180" s="28">
        <f t="shared" si="88"/>
        <v>0.1004289929823691</v>
      </c>
      <c r="D180" s="28">
        <f t="shared" si="88"/>
        <v>1.8398801124492725E-2</v>
      </c>
      <c r="E180" s="28">
        <f t="shared" si="88"/>
        <v>2.4700628383986088E-2</v>
      </c>
      <c r="F180" s="28">
        <f t="shared" si="88"/>
        <v>2.5552021328546736E-2</v>
      </c>
      <c r="G180" s="28">
        <f t="shared" si="88"/>
        <v>9.8762233352448076E-3</v>
      </c>
      <c r="H180" s="28">
        <f t="shared" si="88"/>
        <v>6.7879449042252569E-3</v>
      </c>
      <c r="I180" s="28">
        <f t="shared" si="88"/>
        <v>6.7266358860054148E-3</v>
      </c>
      <c r="J180" s="36">
        <f t="shared" si="75"/>
        <v>0.24609957693088089</v>
      </c>
      <c r="K180" s="34">
        <f t="shared" si="76"/>
        <v>0.49608424378413885</v>
      </c>
      <c r="L180">
        <f t="shared" si="77"/>
        <v>1.3419760337462554</v>
      </c>
    </row>
    <row r="181" spans="1:12">
      <c r="A181" s="1" t="s">
        <v>25</v>
      </c>
      <c r="B181" s="28">
        <f t="shared" ref="B181:I181" si="89">(B159-B$163)^2</f>
        <v>4.5313102294314601E-2</v>
      </c>
      <c r="C181" s="28">
        <f t="shared" si="89"/>
        <v>0.14195204205619064</v>
      </c>
      <c r="D181" s="28">
        <f t="shared" si="89"/>
        <v>3.192421706647415E-2</v>
      </c>
      <c r="E181" s="28">
        <f t="shared" si="89"/>
        <v>2.6716199660119344E-2</v>
      </c>
      <c r="F181" s="28">
        <f t="shared" si="89"/>
        <v>2.5868781923528705E-3</v>
      </c>
      <c r="G181" s="28">
        <f t="shared" si="89"/>
        <v>2.743395370901338E-2</v>
      </c>
      <c r="H181" s="28">
        <f t="shared" si="89"/>
        <v>1.7338372343453558E-2</v>
      </c>
      <c r="I181" s="28">
        <f t="shared" si="89"/>
        <v>1.92644483362522E-2</v>
      </c>
      <c r="J181" s="36">
        <f t="shared" si="75"/>
        <v>0.31252921365817066</v>
      </c>
      <c r="K181" s="34">
        <f t="shared" si="76"/>
        <v>0.55904312325452199</v>
      </c>
      <c r="L181">
        <f t="shared" si="77"/>
        <v>1.2330413112417318</v>
      </c>
    </row>
    <row r="182" spans="1:12">
      <c r="A182" s="1" t="s">
        <v>26</v>
      </c>
      <c r="B182" s="28">
        <f t="shared" ref="B182:I182" si="90">(B160-B$163)^2</f>
        <v>3.9936596504510681E-3</v>
      </c>
      <c r="C182" s="28">
        <f t="shared" si="90"/>
        <v>9.820963622386987E-2</v>
      </c>
      <c r="D182" s="28">
        <f t="shared" si="90"/>
        <v>4.3322504074645322E-2</v>
      </c>
      <c r="E182" s="28">
        <f t="shared" si="90"/>
        <v>0</v>
      </c>
      <c r="F182" s="28">
        <f t="shared" si="90"/>
        <v>2.5552021328546736E-2</v>
      </c>
      <c r="G182" s="28">
        <f t="shared" si="90"/>
        <v>9.3351648037614966E-3</v>
      </c>
      <c r="H182" s="28">
        <f t="shared" si="90"/>
        <v>8.054191004024925E-3</v>
      </c>
      <c r="I182" s="28">
        <f t="shared" si="90"/>
        <v>4.8161120840630482E-3</v>
      </c>
      <c r="J182" s="36">
        <f t="shared" si="75"/>
        <v>0.19328328916936247</v>
      </c>
      <c r="K182" s="34">
        <f t="shared" si="76"/>
        <v>0.43963995401847006</v>
      </c>
      <c r="L182">
        <f t="shared" si="77"/>
        <v>1.2341898174110011</v>
      </c>
    </row>
    <row r="183" spans="1:12">
      <c r="A183" s="1" t="s">
        <v>27</v>
      </c>
      <c r="B183" s="28">
        <f t="shared" ref="B183:I183" si="91">(B161-B$163)^2</f>
        <v>1.8596514882017297E-2</v>
      </c>
      <c r="C183" s="28">
        <f t="shared" si="91"/>
        <v>0.12647853795224043</v>
      </c>
      <c r="D183" s="28">
        <f t="shared" si="91"/>
        <v>0.11786521401459216</v>
      </c>
      <c r="E183" s="28">
        <f t="shared" si="91"/>
        <v>1.2804805754258386E-2</v>
      </c>
      <c r="F183" s="28">
        <f t="shared" si="91"/>
        <v>3.7074187971016408E-2</v>
      </c>
      <c r="G183" s="28">
        <f t="shared" si="91"/>
        <v>1.2966829682775854E-2</v>
      </c>
      <c r="H183" s="28">
        <f t="shared" si="91"/>
        <v>4.0958191151212499E-3</v>
      </c>
      <c r="I183" s="28">
        <f t="shared" si="91"/>
        <v>1.5921031682853051E-2</v>
      </c>
      <c r="J183" s="36">
        <f t="shared" si="75"/>
        <v>0.3458029410548748</v>
      </c>
      <c r="K183" s="34">
        <f t="shared" si="76"/>
        <v>0.5880501178087415</v>
      </c>
      <c r="L183">
        <f t="shared" si="77"/>
        <v>1.4092693305346775</v>
      </c>
    </row>
    <row r="184" spans="1:12">
      <c r="A184" s="8" t="s">
        <v>44</v>
      </c>
      <c r="B184" s="2" t="s">
        <v>40</v>
      </c>
      <c r="C184" s="2" t="s">
        <v>40</v>
      </c>
      <c r="D184" s="2" t="s">
        <v>40</v>
      </c>
      <c r="E184" s="2" t="s">
        <v>42</v>
      </c>
      <c r="F184" s="2" t="s">
        <v>42</v>
      </c>
      <c r="G184" s="2" t="s">
        <v>40</v>
      </c>
      <c r="H184" s="2" t="s">
        <v>42</v>
      </c>
      <c r="I184" s="2" t="s">
        <v>42</v>
      </c>
      <c r="J184" s="36">
        <f t="shared" si="75"/>
        <v>0</v>
      </c>
      <c r="K184" s="34">
        <f t="shared" si="76"/>
        <v>0</v>
      </c>
    </row>
    <row r="187" spans="1:12">
      <c r="A187" s="31" t="s">
        <v>64</v>
      </c>
      <c r="B187" s="2" t="s">
        <v>0</v>
      </c>
      <c r="C187" s="2" t="s">
        <v>1</v>
      </c>
      <c r="D187" s="2" t="s">
        <v>2</v>
      </c>
      <c r="E187" s="2" t="s">
        <v>3</v>
      </c>
      <c r="F187" s="2" t="s">
        <v>4</v>
      </c>
      <c r="G187" s="2" t="s">
        <v>6</v>
      </c>
      <c r="H187" s="2" t="s">
        <v>8</v>
      </c>
      <c r="I187" s="2" t="s">
        <v>9</v>
      </c>
      <c r="J187" s="19" t="s">
        <v>63</v>
      </c>
      <c r="K187" s="19" t="s">
        <v>64</v>
      </c>
      <c r="L187" s="19" t="s">
        <v>65</v>
      </c>
    </row>
    <row r="188" spans="1:12">
      <c r="A188" s="1" t="s">
        <v>12</v>
      </c>
      <c r="B188" s="3">
        <f>(B146-B$164)^2</f>
        <v>4.5845670913732879E-2</v>
      </c>
      <c r="C188" s="3">
        <f t="shared" ref="C188:I188" si="92">(C146-C$164)^2</f>
        <v>3.2248865524338539E-2</v>
      </c>
      <c r="D188" s="3">
        <f t="shared" si="92"/>
        <v>2.558855380172612E-2</v>
      </c>
      <c r="E188" s="3">
        <f t="shared" si="92"/>
        <v>1.2804805754258386E-2</v>
      </c>
      <c r="F188" s="3">
        <f t="shared" si="92"/>
        <v>3.992503332585428E-2</v>
      </c>
      <c r="G188" s="3">
        <f t="shared" si="92"/>
        <v>1.8861319458865253E-2</v>
      </c>
      <c r="H188" s="3">
        <f t="shared" si="92"/>
        <v>1.5455237118110449E-2</v>
      </c>
      <c r="I188" s="3">
        <f t="shared" si="92"/>
        <v>4.8161120840630438E-3</v>
      </c>
      <c r="J188" s="35">
        <f>SUM(B188:I188)</f>
        <v>0.19554559798094895</v>
      </c>
      <c r="K188" s="24">
        <f>SQRT(J188)</f>
        <v>0.44220537986432157</v>
      </c>
      <c r="L188" s="9">
        <f>K188/(K168+K188)</f>
        <v>0.5460696872267734</v>
      </c>
    </row>
    <row r="189" spans="1:12">
      <c r="A189" s="1" t="s">
        <v>13</v>
      </c>
      <c r="B189" s="3">
        <f t="shared" ref="B189:I189" si="93">(B147-B$164)^2</f>
        <v>2.7442581635457545E-3</v>
      </c>
      <c r="C189" s="3">
        <f t="shared" si="93"/>
        <v>1.0427257172613887E-2</v>
      </c>
      <c r="D189" s="3">
        <f t="shared" si="93"/>
        <v>4.8569772148021745E-3</v>
      </c>
      <c r="E189" s="3">
        <f t="shared" si="93"/>
        <v>3.9521005414377714E-3</v>
      </c>
      <c r="F189" s="3">
        <f t="shared" si="93"/>
        <v>7.6233716525664255E-2</v>
      </c>
      <c r="G189" s="3">
        <f t="shared" si="93"/>
        <v>2.5381170020022962E-3</v>
      </c>
      <c r="H189" s="3">
        <f t="shared" si="93"/>
        <v>5.7408567832370637E-3</v>
      </c>
      <c r="I189" s="3">
        <f t="shared" si="93"/>
        <v>0</v>
      </c>
      <c r="J189" s="35">
        <f t="shared" ref="J189:J204" si="94">SUM(B189:I189)</f>
        <v>0.1064932834033032</v>
      </c>
      <c r="K189" s="24">
        <f t="shared" ref="K189:K204" si="95">SQRT(J189)</f>
        <v>0.32633308658991844</v>
      </c>
      <c r="L189" s="9">
        <f t="shared" ref="L189:L203" si="96">K189/(K169+K189)</f>
        <v>0.38093689782310408</v>
      </c>
    </row>
    <row r="190" spans="1:12">
      <c r="A190" s="1" t="s">
        <v>14</v>
      </c>
      <c r="B190" s="3">
        <f t="shared" ref="B190:I190" si="97">(B148-B$164)^2</f>
        <v>1.2196702949092229E-3</v>
      </c>
      <c r="C190" s="3">
        <f t="shared" si="97"/>
        <v>4.4635107992164124E-4</v>
      </c>
      <c r="D190" s="3">
        <f t="shared" si="97"/>
        <v>3.5003664446121699E-2</v>
      </c>
      <c r="E190" s="3">
        <f t="shared" si="97"/>
        <v>9.8802513535944459E-4</v>
      </c>
      <c r="F190" s="3">
        <f t="shared" si="97"/>
        <v>4.751408924729765E-2</v>
      </c>
      <c r="G190" s="3">
        <f t="shared" si="97"/>
        <v>8.8093473576720763E-3</v>
      </c>
      <c r="H190" s="3">
        <f t="shared" si="97"/>
        <v>1.5823206070188986E-2</v>
      </c>
      <c r="I190" s="3">
        <f t="shared" si="97"/>
        <v>1.9503263811494959E-3</v>
      </c>
      <c r="J190" s="35">
        <f t="shared" si="94"/>
        <v>0.11175468001262021</v>
      </c>
      <c r="K190" s="24">
        <f t="shared" si="95"/>
        <v>0.33429729285864729</v>
      </c>
      <c r="L190" s="9">
        <f t="shared" si="96"/>
        <v>0.38448910739863035</v>
      </c>
    </row>
    <row r="191" spans="1:12">
      <c r="A191" s="1" t="s">
        <v>15</v>
      </c>
      <c r="B191" s="3">
        <f t="shared" ref="B191:I191" si="98">(B149-B$164)^2</f>
        <v>4.1528598122440646E-3</v>
      </c>
      <c r="C191" s="3">
        <f t="shared" si="98"/>
        <v>9.0386093684132248E-3</v>
      </c>
      <c r="D191" s="3">
        <f t="shared" si="98"/>
        <v>0.11754427416620172</v>
      </c>
      <c r="E191" s="3">
        <f t="shared" si="98"/>
        <v>1.0117377386080694E-2</v>
      </c>
      <c r="F191" s="3">
        <f t="shared" si="98"/>
        <v>7.6233716525664255E-2</v>
      </c>
      <c r="G191" s="3">
        <f t="shared" si="98"/>
        <v>0</v>
      </c>
      <c r="H191" s="3">
        <f t="shared" si="98"/>
        <v>0</v>
      </c>
      <c r="I191" s="3">
        <f t="shared" si="98"/>
        <v>8.9555803216048377E-3</v>
      </c>
      <c r="J191" s="35">
        <f t="shared" si="94"/>
        <v>0.22604241758020879</v>
      </c>
      <c r="K191" s="24">
        <f t="shared" si="95"/>
        <v>0.47543918389233419</v>
      </c>
      <c r="L191" s="9">
        <f t="shared" si="96"/>
        <v>0.50699471592572953</v>
      </c>
    </row>
    <row r="192" spans="1:12">
      <c r="A192" s="1" t="s">
        <v>16</v>
      </c>
      <c r="B192" s="3">
        <f t="shared" ref="B192:I192" si="99">(B150-B$164)^2</f>
        <v>3.6342925099867407E-3</v>
      </c>
      <c r="C192" s="3">
        <f t="shared" si="99"/>
        <v>5.4678007290401009E-3</v>
      </c>
      <c r="D192" s="3">
        <f t="shared" si="99"/>
        <v>3.1093973900392691E-2</v>
      </c>
      <c r="E192" s="3">
        <f t="shared" si="99"/>
        <v>1.2804805754258386E-2</v>
      </c>
      <c r="F192" s="3">
        <f t="shared" si="99"/>
        <v>9.5358137447701524E-2</v>
      </c>
      <c r="G192" s="3">
        <f t="shared" si="99"/>
        <v>9.2022815904834604E-3</v>
      </c>
      <c r="H192" s="3">
        <f t="shared" si="99"/>
        <v>2.1429321281267885E-2</v>
      </c>
      <c r="I192" s="3">
        <f t="shared" si="99"/>
        <v>3.9802579207132609E-3</v>
      </c>
      <c r="J192" s="35">
        <f t="shared" si="94"/>
        <v>0.18297087113384408</v>
      </c>
      <c r="K192" s="24">
        <f t="shared" si="95"/>
        <v>0.42775094521677459</v>
      </c>
      <c r="L192" s="9">
        <f t="shared" si="96"/>
        <v>0.48973743319469276</v>
      </c>
    </row>
    <row r="193" spans="1:12">
      <c r="A193" s="1" t="s">
        <v>17</v>
      </c>
      <c r="B193" s="3">
        <f t="shared" ref="B193:I193" si="100">(B151-B$164)^2</f>
        <v>1.4940961112638002E-2</v>
      </c>
      <c r="C193" s="3">
        <f t="shared" si="100"/>
        <v>1.3502120167629621E-2</v>
      </c>
      <c r="D193" s="3">
        <f t="shared" si="100"/>
        <v>6.6235684048173739E-3</v>
      </c>
      <c r="E193" s="3">
        <f t="shared" si="100"/>
        <v>2.0906611864205817E-2</v>
      </c>
      <c r="F193" s="3">
        <f t="shared" si="100"/>
        <v>9.7615056686948184E-2</v>
      </c>
      <c r="G193" s="3">
        <f t="shared" si="100"/>
        <v>2.6302779402435146E-2</v>
      </c>
      <c r="H193" s="3">
        <f t="shared" si="100"/>
        <v>1.3680328055143387E-2</v>
      </c>
      <c r="I193" s="3">
        <f t="shared" si="100"/>
        <v>1.9264448336252186E-2</v>
      </c>
      <c r="J193" s="35">
        <f t="shared" si="94"/>
        <v>0.2128358740300697</v>
      </c>
      <c r="K193" s="24">
        <f t="shared" si="95"/>
        <v>0.46134138555961973</v>
      </c>
      <c r="L193" s="9">
        <f t="shared" si="96"/>
        <v>0.5251924469942425</v>
      </c>
    </row>
    <row r="194" spans="1:12">
      <c r="A194" s="1" t="s">
        <v>18</v>
      </c>
      <c r="B194" s="3">
        <f t="shared" ref="B194:I194" si="101">(B152-B$164)^2</f>
        <v>3.8021527457274371E-2</v>
      </c>
      <c r="C194" s="3">
        <f t="shared" si="101"/>
        <v>1.2398641108934472E-3</v>
      </c>
      <c r="D194" s="3">
        <f t="shared" si="101"/>
        <v>3.1924217066474143E-2</v>
      </c>
      <c r="E194" s="3">
        <f t="shared" si="101"/>
        <v>1.7428763387740572E-2</v>
      </c>
      <c r="F194" s="3">
        <f t="shared" si="101"/>
        <v>0.14551189831984906</v>
      </c>
      <c r="G194" s="3">
        <f t="shared" si="101"/>
        <v>4.1168076784588191E-2</v>
      </c>
      <c r="H194" s="3">
        <f t="shared" si="101"/>
        <v>2.6190731295001778E-2</v>
      </c>
      <c r="I194" s="3">
        <f t="shared" si="101"/>
        <v>1.4368731093774874E-2</v>
      </c>
      <c r="J194" s="35">
        <f t="shared" si="94"/>
        <v>0.31585380951559644</v>
      </c>
      <c r="K194" s="24">
        <f t="shared" si="95"/>
        <v>0.56200872725928064</v>
      </c>
      <c r="L194" s="9">
        <f t="shared" si="96"/>
        <v>0.57888323828879973</v>
      </c>
    </row>
    <row r="195" spans="1:12">
      <c r="A195" s="1" t="s">
        <v>19</v>
      </c>
      <c r="B195" s="3">
        <f t="shared" ref="B195:I195" si="102">(B153-B$164)^2</f>
        <v>0</v>
      </c>
      <c r="C195" s="3">
        <f t="shared" si="102"/>
        <v>2.5107248245592302E-2</v>
      </c>
      <c r="D195" s="3">
        <f t="shared" si="102"/>
        <v>0.11754427416620172</v>
      </c>
      <c r="E195" s="3">
        <f t="shared" si="102"/>
        <v>1.2804805754258386E-2</v>
      </c>
      <c r="F195" s="3">
        <f t="shared" si="102"/>
        <v>6.1029207966528991E-2</v>
      </c>
      <c r="G195" s="3">
        <f t="shared" si="102"/>
        <v>5.1867318731103397E-4</v>
      </c>
      <c r="H195" s="3">
        <f t="shared" si="102"/>
        <v>5.8929145413753913E-4</v>
      </c>
      <c r="I195" s="3">
        <f t="shared" si="102"/>
        <v>2.6906543544021649E-2</v>
      </c>
      <c r="J195" s="35">
        <f t="shared" si="94"/>
        <v>0.24450004431805161</v>
      </c>
      <c r="K195" s="24">
        <f t="shared" si="95"/>
        <v>0.49446945741678688</v>
      </c>
      <c r="L195" s="9">
        <f t="shared" si="96"/>
        <v>0.53137291087103888</v>
      </c>
    </row>
    <row r="196" spans="1:12">
      <c r="A196" s="1" t="s">
        <v>20</v>
      </c>
      <c r="B196" s="3">
        <f t="shared" ref="B196:I196" si="103">(B154-B$164)^2</f>
        <v>2.4068437055436592E-3</v>
      </c>
      <c r="C196" s="3">
        <f t="shared" si="103"/>
        <v>3.5832072804820587E-3</v>
      </c>
      <c r="D196" s="3">
        <f t="shared" si="103"/>
        <v>1.1372690578544937E-2</v>
      </c>
      <c r="E196" s="3">
        <f t="shared" si="103"/>
        <v>0</v>
      </c>
      <c r="F196" s="3">
        <f t="shared" si="103"/>
        <v>6.1029207966528991E-2</v>
      </c>
      <c r="G196" s="3">
        <f t="shared" si="103"/>
        <v>6.5203268450762732E-4</v>
      </c>
      <c r="H196" s="3">
        <f t="shared" si="103"/>
        <v>1.8203640511649966E-3</v>
      </c>
      <c r="I196" s="3">
        <f t="shared" si="103"/>
        <v>4.8161120840630438E-3</v>
      </c>
      <c r="J196" s="35">
        <f t="shared" si="94"/>
        <v>8.568045835083532E-2</v>
      </c>
      <c r="K196" s="24">
        <f t="shared" si="95"/>
        <v>0.29271224496224157</v>
      </c>
      <c r="L196" s="9">
        <f t="shared" si="96"/>
        <v>0.34351782961067956</v>
      </c>
    </row>
    <row r="197" spans="1:12">
      <c r="A197" s="1" t="s">
        <v>21</v>
      </c>
      <c r="B197" s="3">
        <f t="shared" ref="B197:I197" si="104">(B155-B$164)^2</f>
        <v>1.6611439248976272E-2</v>
      </c>
      <c r="C197" s="3">
        <f t="shared" si="104"/>
        <v>0</v>
      </c>
      <c r="D197" s="3">
        <f t="shared" si="104"/>
        <v>0.11786521401459216</v>
      </c>
      <c r="E197" s="3">
        <f t="shared" si="104"/>
        <v>5.691024779670391E-3</v>
      </c>
      <c r="F197" s="3">
        <f t="shared" si="104"/>
        <v>0.11911518207135036</v>
      </c>
      <c r="G197" s="3">
        <f t="shared" si="104"/>
        <v>4.5742307538431323E-3</v>
      </c>
      <c r="H197" s="3">
        <f t="shared" si="104"/>
        <v>1.7338372343453558E-2</v>
      </c>
      <c r="I197" s="3">
        <f t="shared" si="104"/>
        <v>4.8161120840630438E-3</v>
      </c>
      <c r="J197" s="35">
        <f t="shared" si="94"/>
        <v>0.28601157529594884</v>
      </c>
      <c r="K197" s="24">
        <f t="shared" si="95"/>
        <v>0.53480050046344274</v>
      </c>
      <c r="L197" s="9">
        <f t="shared" si="96"/>
        <v>0.53669003904549095</v>
      </c>
    </row>
    <row r="198" spans="1:12">
      <c r="A198" s="1" t="s">
        <v>22</v>
      </c>
      <c r="B198" s="3">
        <f t="shared" ref="B198:I198" si="105">(B156-B$164)^2</f>
        <v>5.7748346202445219E-2</v>
      </c>
      <c r="C198" s="3">
        <f t="shared" si="105"/>
        <v>9.7205346294046181E-3</v>
      </c>
      <c r="D198" s="3">
        <f t="shared" si="105"/>
        <v>3.8407989586409813E-2</v>
      </c>
      <c r="E198" s="3">
        <f t="shared" si="105"/>
        <v>1.426708295459036E-2</v>
      </c>
      <c r="F198" s="3">
        <f t="shared" si="105"/>
        <v>6.1029207966528991E-2</v>
      </c>
      <c r="G198" s="3">
        <f t="shared" si="105"/>
        <v>4.1193796116190395E-3</v>
      </c>
      <c r="H198" s="3">
        <f t="shared" si="105"/>
        <v>1.2013645154552364E-2</v>
      </c>
      <c r="I198" s="3">
        <f t="shared" si="105"/>
        <v>6.3684126731411949E-4</v>
      </c>
      <c r="J198" s="35">
        <f t="shared" si="94"/>
        <v>0.19794302737286451</v>
      </c>
      <c r="K198" s="24">
        <f t="shared" si="95"/>
        <v>0.4449078863909523</v>
      </c>
      <c r="L198" s="9">
        <f t="shared" si="96"/>
        <v>0.51474480483479701</v>
      </c>
    </row>
    <row r="199" spans="1:12">
      <c r="A199" s="1" t="s">
        <v>23</v>
      </c>
      <c r="B199" s="3">
        <f t="shared" ref="B199:I199" si="106">(B157-B$164)^2</f>
        <v>1.453717003994691E-4</v>
      </c>
      <c r="C199" s="3">
        <f t="shared" si="106"/>
        <v>0.16113273985171225</v>
      </c>
      <c r="D199" s="3">
        <f t="shared" si="106"/>
        <v>2.1845786980824553E-2</v>
      </c>
      <c r="E199" s="3">
        <f t="shared" si="106"/>
        <v>1.9128166620558822E-2</v>
      </c>
      <c r="F199" s="3">
        <f t="shared" si="106"/>
        <v>0</v>
      </c>
      <c r="G199" s="3">
        <f t="shared" si="106"/>
        <v>3.5225958616642893E-3</v>
      </c>
      <c r="H199" s="3">
        <f t="shared" si="106"/>
        <v>1.4201437026984018E-2</v>
      </c>
      <c r="I199" s="3">
        <f t="shared" si="106"/>
        <v>1.5921031682852987E-4</v>
      </c>
      <c r="J199" s="35">
        <f t="shared" si="94"/>
        <v>0.22013530835897191</v>
      </c>
      <c r="K199" s="24">
        <f t="shared" si="95"/>
        <v>0.46918579300632274</v>
      </c>
      <c r="L199" s="9">
        <f t="shared" si="96"/>
        <v>0.46881190561185954</v>
      </c>
    </row>
    <row r="200" spans="1:12">
      <c r="A200" s="1" t="s">
        <v>24</v>
      </c>
      <c r="B200" s="3">
        <f t="shared" ref="B200:I200" si="107">(B158-B$164)^2</f>
        <v>7.6229393431826673E-5</v>
      </c>
      <c r="C200" s="3">
        <f t="shared" si="107"/>
        <v>7.1416172787462503E-3</v>
      </c>
      <c r="D200" s="3">
        <f t="shared" si="107"/>
        <v>4.3128014964066548E-2</v>
      </c>
      <c r="E200" s="3">
        <f t="shared" si="107"/>
        <v>3.5568904872939835E-4</v>
      </c>
      <c r="F200" s="3">
        <f t="shared" si="107"/>
        <v>4.9111090580331834E-2</v>
      </c>
      <c r="G200" s="3">
        <f t="shared" si="107"/>
        <v>1.0716388167583357E-2</v>
      </c>
      <c r="H200" s="3">
        <f t="shared" si="107"/>
        <v>6.3117497897706744E-3</v>
      </c>
      <c r="I200" s="3">
        <f t="shared" si="107"/>
        <v>6.7266358860054096E-3</v>
      </c>
      <c r="J200" s="35">
        <f t="shared" si="94"/>
        <v>0.12356741510866531</v>
      </c>
      <c r="K200" s="24">
        <f t="shared" si="95"/>
        <v>0.35152157132765738</v>
      </c>
      <c r="L200" s="9">
        <f t="shared" si="96"/>
        <v>0.41472293495449053</v>
      </c>
    </row>
    <row r="201" spans="1:12">
      <c r="A201" s="1" t="s">
        <v>25</v>
      </c>
      <c r="B201" s="3">
        <f t="shared" ref="B201:I201" si="108">(B159-B$164)^2</f>
        <v>7.5295972287763382E-4</v>
      </c>
      <c r="C201" s="3">
        <f t="shared" si="108"/>
        <v>6.0753341433778907E-4</v>
      </c>
      <c r="D201" s="3">
        <f t="shared" si="108"/>
        <v>2.7106837747076642E-2</v>
      </c>
      <c r="E201" s="3">
        <f t="shared" si="108"/>
        <v>1.5808402165751084E-4</v>
      </c>
      <c r="F201" s="3">
        <f t="shared" si="108"/>
        <v>0.10929560362690885</v>
      </c>
      <c r="G201" s="3">
        <f t="shared" si="108"/>
        <v>1.3888439065188011E-3</v>
      </c>
      <c r="H201" s="3">
        <f t="shared" si="108"/>
        <v>9.0964089477061846E-4</v>
      </c>
      <c r="I201" s="3">
        <f t="shared" si="108"/>
        <v>6.3684126731411949E-4</v>
      </c>
      <c r="J201" s="35">
        <f t="shared" si="94"/>
        <v>0.14085634460146196</v>
      </c>
      <c r="K201" s="24">
        <f t="shared" si="95"/>
        <v>0.3753083327098693</v>
      </c>
      <c r="L201" s="9">
        <f t="shared" si="96"/>
        <v>0.40167790215780702</v>
      </c>
    </row>
    <row r="202" spans="1:12">
      <c r="A202" s="1" t="s">
        <v>26</v>
      </c>
      <c r="B202" s="3">
        <f t="shared" ref="B202:I202" si="109">(B160-B$164)^2</f>
        <v>3.1369173248150008E-2</v>
      </c>
      <c r="C202" s="3">
        <f t="shared" si="109"/>
        <v>7.7491506930840379E-3</v>
      </c>
      <c r="D202" s="3">
        <f t="shared" si="109"/>
        <v>1.827213161377831E-2</v>
      </c>
      <c r="E202" s="3">
        <f t="shared" si="109"/>
        <v>3.0984468244872138E-2</v>
      </c>
      <c r="F202" s="3">
        <f t="shared" si="109"/>
        <v>4.9111090580331834E-2</v>
      </c>
      <c r="G202" s="3">
        <f t="shared" si="109"/>
        <v>1.1295549412551408E-2</v>
      </c>
      <c r="H202" s="3">
        <f t="shared" si="109"/>
        <v>5.1970203172974627E-3</v>
      </c>
      <c r="I202" s="3">
        <f t="shared" si="109"/>
        <v>8.9555803216048377E-3</v>
      </c>
      <c r="J202" s="35">
        <f t="shared" si="94"/>
        <v>0.16293416443167003</v>
      </c>
      <c r="K202" s="24">
        <f t="shared" si="95"/>
        <v>0.40365104289679477</v>
      </c>
      <c r="L202" s="9">
        <f t="shared" si="96"/>
        <v>0.47866162970236742</v>
      </c>
    </row>
    <row r="203" spans="1:12">
      <c r="A203" s="1" t="s">
        <v>27</v>
      </c>
      <c r="B203" s="3">
        <f t="shared" ref="B203:I203" si="110">(B161-B$164)^2</f>
        <v>1.0803485463694239E-2</v>
      </c>
      <c r="C203" s="3">
        <f t="shared" si="110"/>
        <v>2.0953703474099234E-3</v>
      </c>
      <c r="D203" s="3">
        <f t="shared" si="110"/>
        <v>0</v>
      </c>
      <c r="E203" s="3">
        <f t="shared" si="110"/>
        <v>3.9521005414377714E-3</v>
      </c>
      <c r="F203" s="3">
        <f t="shared" si="110"/>
        <v>3.5688360367970254E-2</v>
      </c>
      <c r="G203" s="3">
        <f t="shared" si="110"/>
        <v>7.9258406887446429E-3</v>
      </c>
      <c r="H203" s="3">
        <f t="shared" si="110"/>
        <v>9.5720629313488931E-3</v>
      </c>
      <c r="I203" s="3">
        <f t="shared" si="110"/>
        <v>1.432892851456773E-3</v>
      </c>
      <c r="J203" s="35">
        <f t="shared" si="94"/>
        <v>7.1470113192062493E-2</v>
      </c>
      <c r="K203" s="24">
        <f t="shared" si="95"/>
        <v>0.26733894813899167</v>
      </c>
      <c r="L203" s="9">
        <f t="shared" si="96"/>
        <v>0.31253491397249972</v>
      </c>
    </row>
    <row r="204" spans="1:12">
      <c r="A204" s="8" t="s">
        <v>44</v>
      </c>
      <c r="B204" s="2" t="s">
        <v>40</v>
      </c>
      <c r="C204" s="2" t="s">
        <v>40</v>
      </c>
      <c r="D204" s="2" t="s">
        <v>40</v>
      </c>
      <c r="E204" s="2" t="s">
        <v>42</v>
      </c>
      <c r="F204" s="2" t="s">
        <v>42</v>
      </c>
      <c r="G204" s="2" t="s">
        <v>40</v>
      </c>
      <c r="H204" s="2" t="s">
        <v>42</v>
      </c>
      <c r="I204" s="2" t="s">
        <v>42</v>
      </c>
      <c r="J204" s="35">
        <f t="shared" si="94"/>
        <v>0</v>
      </c>
      <c r="K204" s="24">
        <f t="shared" si="95"/>
        <v>0</v>
      </c>
    </row>
    <row r="207" spans="1:12">
      <c r="A207" t="s">
        <v>67</v>
      </c>
    </row>
    <row r="208" spans="1:12">
      <c r="A208" s="1" t="s">
        <v>18</v>
      </c>
      <c r="B208" s="1">
        <v>0.57888323828879973</v>
      </c>
      <c r="C208">
        <v>1</v>
      </c>
    </row>
    <row r="209" spans="1:3">
      <c r="A209" s="1" t="s">
        <v>12</v>
      </c>
      <c r="B209" s="1">
        <v>0.5460696872267734</v>
      </c>
      <c r="C209">
        <v>2</v>
      </c>
    </row>
    <row r="210" spans="1:3">
      <c r="A210" s="1" t="s">
        <v>21</v>
      </c>
      <c r="B210" s="1">
        <v>0.53669003904549095</v>
      </c>
      <c r="C210">
        <v>3</v>
      </c>
    </row>
    <row r="211" spans="1:3">
      <c r="A211" s="1" t="s">
        <v>19</v>
      </c>
      <c r="B211" s="1">
        <v>0.53137291087103888</v>
      </c>
      <c r="C211">
        <v>4</v>
      </c>
    </row>
    <row r="212" spans="1:3">
      <c r="A212" s="1" t="s">
        <v>17</v>
      </c>
      <c r="B212" s="1">
        <v>0.5251924469942425</v>
      </c>
      <c r="C212">
        <v>5</v>
      </c>
    </row>
    <row r="213" spans="1:3">
      <c r="A213" s="1" t="s">
        <v>22</v>
      </c>
      <c r="B213" s="1">
        <v>0.51474480483479701</v>
      </c>
      <c r="C213">
        <v>6</v>
      </c>
    </row>
    <row r="214" spans="1:3">
      <c r="A214" s="1" t="s">
        <v>15</v>
      </c>
      <c r="B214" s="1">
        <v>0.50699471592572953</v>
      </c>
      <c r="C214">
        <v>7</v>
      </c>
    </row>
    <row r="215" spans="1:3">
      <c r="A215" s="1" t="s">
        <v>16</v>
      </c>
      <c r="B215" s="1">
        <v>0.48973743319469276</v>
      </c>
      <c r="C215">
        <v>8</v>
      </c>
    </row>
    <row r="216" spans="1:3">
      <c r="A216" s="1" t="s">
        <v>26</v>
      </c>
      <c r="B216" s="1">
        <v>0.47866162970236742</v>
      </c>
      <c r="C216">
        <v>9</v>
      </c>
    </row>
    <row r="217" spans="1:3">
      <c r="A217" s="1" t="s">
        <v>23</v>
      </c>
      <c r="B217" s="1">
        <v>0.46881190561185954</v>
      </c>
      <c r="C217">
        <v>10</v>
      </c>
    </row>
    <row r="218" spans="1:3">
      <c r="A218" s="1" t="s">
        <v>24</v>
      </c>
      <c r="B218" s="1">
        <v>0.41472293495449053</v>
      </c>
      <c r="C218">
        <v>11</v>
      </c>
    </row>
    <row r="219" spans="1:3">
      <c r="A219" s="1" t="s">
        <v>25</v>
      </c>
      <c r="B219" s="1">
        <v>0.40167790215780702</v>
      </c>
      <c r="C219">
        <v>12</v>
      </c>
    </row>
    <row r="220" spans="1:3">
      <c r="A220" s="1" t="s">
        <v>14</v>
      </c>
      <c r="B220" s="1">
        <v>0.38448910739863035</v>
      </c>
      <c r="C220">
        <v>13</v>
      </c>
    </row>
    <row r="221" spans="1:3">
      <c r="A221" s="1" t="s">
        <v>13</v>
      </c>
      <c r="B221" s="1">
        <v>0.38093689782310408</v>
      </c>
      <c r="C221">
        <v>14</v>
      </c>
    </row>
    <row r="222" spans="1:3">
      <c r="A222" s="1" t="s">
        <v>20</v>
      </c>
      <c r="B222" s="1">
        <v>0.34351782961067956</v>
      </c>
      <c r="C222">
        <v>15</v>
      </c>
    </row>
    <row r="223" spans="1:3">
      <c r="A223" s="1" t="s">
        <v>27</v>
      </c>
      <c r="B223" s="1">
        <v>0.31253491397249972</v>
      </c>
      <c r="C223">
        <v>16</v>
      </c>
    </row>
    <row r="227" spans="1:14">
      <c r="A227" t="s">
        <v>69</v>
      </c>
    </row>
    <row r="228" spans="1:14" ht="14.65" thickBot="1"/>
    <row r="229" spans="1:14">
      <c r="A229" s="37"/>
      <c r="B229" s="37" t="s">
        <v>0</v>
      </c>
      <c r="C229" s="37" t="s">
        <v>1</v>
      </c>
      <c r="D229" s="37" t="s">
        <v>2</v>
      </c>
      <c r="E229" s="37" t="s">
        <v>3</v>
      </c>
      <c r="F229" s="37" t="s">
        <v>4</v>
      </c>
      <c r="G229" s="37" t="s">
        <v>6</v>
      </c>
      <c r="H229" s="37" t="s">
        <v>8</v>
      </c>
      <c r="I229" s="39" t="s">
        <v>9</v>
      </c>
      <c r="J229" s="45" t="s">
        <v>70</v>
      </c>
      <c r="K229" s="44" t="s">
        <v>71</v>
      </c>
      <c r="L229" s="44" t="s">
        <v>72</v>
      </c>
      <c r="M229" s="49" t="s">
        <v>65</v>
      </c>
      <c r="N229" s="44" t="s">
        <v>74</v>
      </c>
    </row>
    <row r="230" spans="1:14">
      <c r="A230" s="37" t="s">
        <v>12</v>
      </c>
      <c r="B230" s="38">
        <v>0.3592160059842745</v>
      </c>
      <c r="C230" s="38">
        <v>0.31338416715569706</v>
      </c>
      <c r="D230" s="38">
        <v>0.21375336716511731</v>
      </c>
      <c r="E230" s="38">
        <v>0.22003006983731274</v>
      </c>
      <c r="F230" s="38">
        <v>0.28700340251195661</v>
      </c>
      <c r="G230" s="38">
        <v>0.2995178354691887</v>
      </c>
      <c r="H230" s="38">
        <v>0.21259300679713425</v>
      </c>
      <c r="I230" s="40">
        <v>0.24604821270240662</v>
      </c>
      <c r="J230" s="46">
        <f>SUM(B230+C230+D230+G230)</f>
        <v>1.1858713757742776</v>
      </c>
      <c r="K230" s="42">
        <f>SUM(I230+H230+F230+E230)</f>
        <v>0.96567469184881016</v>
      </c>
      <c r="L230" s="42">
        <f>1/K230</f>
        <v>1.0355454154912904</v>
      </c>
      <c r="M230" s="41">
        <f>J230+((K$246)/(K230*L$246))</f>
        <v>2.143521727900799</v>
      </c>
      <c r="N230" s="50">
        <f>M230/$M$247</f>
        <v>0.86702096081578972</v>
      </c>
    </row>
    <row r="231" spans="1:14">
      <c r="A231" s="37" t="s">
        <v>13</v>
      </c>
      <c r="B231" s="38">
        <v>0.19748565143811386</v>
      </c>
      <c r="C231" s="38">
        <v>0.23591841797114274</v>
      </c>
      <c r="D231" s="38">
        <v>0.12348115739954259</v>
      </c>
      <c r="E231" s="38">
        <v>0.27032265722869853</v>
      </c>
      <c r="F231" s="38">
        <v>0.21071135880624661</v>
      </c>
      <c r="G231" s="38">
        <v>0.21256104452652103</v>
      </c>
      <c r="H231" s="38">
        <v>0.26114365886845209</v>
      </c>
      <c r="I231" s="40">
        <v>0.31544642654154692</v>
      </c>
      <c r="J231" s="46">
        <f t="shared" ref="J231:J245" si="111">SUM(B231+C231+D231+G231)</f>
        <v>0.76944627133532018</v>
      </c>
      <c r="K231" s="42">
        <f t="shared" ref="K231:K245" si="112">SUM(I231+H231+F231+E231)</f>
        <v>1.0576241014449441</v>
      </c>
      <c r="L231" s="42">
        <f t="shared" ref="L231:L245" si="113">1/K231</f>
        <v>0.94551551787991872</v>
      </c>
      <c r="M231" s="41">
        <f t="shared" ref="M231:M245" si="114">J231+((K$246)/(K231*L$246))</f>
        <v>1.6438388910054231</v>
      </c>
      <c r="N231" s="50">
        <f t="shared" ref="N231:N246" si="115">M231/$M$247</f>
        <v>0.66490708078879979</v>
      </c>
    </row>
    <row r="232" spans="1:14">
      <c r="A232" s="37" t="s">
        <v>14</v>
      </c>
      <c r="B232" s="38">
        <v>0.18002376225832273</v>
      </c>
      <c r="C232" s="38">
        <v>0.15493149836910866</v>
      </c>
      <c r="D232" s="38">
        <v>0.24088180326047134</v>
      </c>
      <c r="E232" s="38">
        <v>0.3017555243483146</v>
      </c>
      <c r="F232" s="38">
        <v>0.26883863020107329</v>
      </c>
      <c r="G232" s="38">
        <v>0.25603943999785489</v>
      </c>
      <c r="H232" s="38">
        <v>0.21112177491618522</v>
      </c>
      <c r="I232" s="40">
        <v>0.27128392682573038</v>
      </c>
      <c r="J232" s="46">
        <f t="shared" si="111"/>
        <v>0.83187650388575762</v>
      </c>
      <c r="K232" s="42">
        <f t="shared" si="112"/>
        <v>1.0529998562913034</v>
      </c>
      <c r="L232" s="42">
        <f t="shared" si="113"/>
        <v>0.94966774594065906</v>
      </c>
      <c r="M232" s="41">
        <f t="shared" si="114"/>
        <v>1.7101090156600529</v>
      </c>
      <c r="N232" s="50">
        <f t="shared" si="115"/>
        <v>0.69171230809466377</v>
      </c>
    </row>
    <row r="233" spans="1:14">
      <c r="A233" s="37" t="s">
        <v>15</v>
      </c>
      <c r="B233" s="38">
        <v>0.20954267015749345</v>
      </c>
      <c r="C233" s="38">
        <v>0.22887607713618324</v>
      </c>
      <c r="D233" s="38">
        <v>0.39663644498034889</v>
      </c>
      <c r="E233" s="38">
        <v>0.23260321668515921</v>
      </c>
      <c r="F233" s="38">
        <v>0.21071135880624661</v>
      </c>
      <c r="G233" s="38">
        <v>0.16218131644068975</v>
      </c>
      <c r="H233" s="38">
        <v>0.33691210073732691</v>
      </c>
      <c r="I233" s="40">
        <v>0.22081249857908286</v>
      </c>
      <c r="J233" s="46">
        <f t="shared" si="111"/>
        <v>0.99723650871471536</v>
      </c>
      <c r="K233" s="42">
        <f t="shared" si="112"/>
        <v>1.0010391748078156</v>
      </c>
      <c r="L233" s="42">
        <f t="shared" si="113"/>
        <v>0.99896190395544204</v>
      </c>
      <c r="M233" s="41">
        <f t="shared" si="114"/>
        <v>1.9210552082838175</v>
      </c>
      <c r="N233" s="50">
        <f t="shared" si="115"/>
        <v>0.77703673855341271</v>
      </c>
    </row>
    <row r="234" spans="1:14">
      <c r="A234" s="37" t="s">
        <v>16</v>
      </c>
      <c r="B234" s="38">
        <v>0.20538507749563842</v>
      </c>
      <c r="C234" s="38">
        <v>0.2077490546313048</v>
      </c>
      <c r="D234" s="38">
        <v>0.23012397515369301</v>
      </c>
      <c r="E234" s="38">
        <v>0.22003006983731274</v>
      </c>
      <c r="F234" s="38">
        <v>0.17801476864665663</v>
      </c>
      <c r="G234" s="38">
        <v>0.25810983978220409</v>
      </c>
      <c r="H234" s="38">
        <v>0.19052452858289884</v>
      </c>
      <c r="I234" s="40">
        <v>0.25235714123323755</v>
      </c>
      <c r="J234" s="46">
        <f t="shared" si="111"/>
        <v>0.9013679470628404</v>
      </c>
      <c r="K234" s="42">
        <f t="shared" si="112"/>
        <v>0.84092650830010585</v>
      </c>
      <c r="L234" s="42">
        <f t="shared" si="113"/>
        <v>1.189164558531344</v>
      </c>
      <c r="M234" s="41">
        <f t="shared" si="114"/>
        <v>2.0010820119198049</v>
      </c>
      <c r="N234" s="50">
        <f t="shared" si="115"/>
        <v>0.80940632700980808</v>
      </c>
    </row>
    <row r="235" spans="1:14">
      <c r="A235" s="37" t="s">
        <v>17</v>
      </c>
      <c r="B235" s="38">
        <v>0.26733320815727835</v>
      </c>
      <c r="C235" s="38">
        <v>0.25000309964106165</v>
      </c>
      <c r="D235" s="38">
        <v>0.1351744488199538</v>
      </c>
      <c r="E235" s="38">
        <v>0.18859720271769664</v>
      </c>
      <c r="F235" s="38">
        <v>0.17438181418447996</v>
      </c>
      <c r="G235" s="38">
        <v>0.32436263288137951</v>
      </c>
      <c r="H235" s="38">
        <v>0.21994916620187938</v>
      </c>
      <c r="I235" s="40">
        <v>0.17664999886326629</v>
      </c>
      <c r="J235" s="46">
        <f t="shared" si="111"/>
        <v>0.97687338949967328</v>
      </c>
      <c r="K235" s="42">
        <f t="shared" si="112"/>
        <v>0.7595781819673223</v>
      </c>
      <c r="L235" s="42">
        <f t="shared" si="113"/>
        <v>1.3165201736179157</v>
      </c>
      <c r="M235" s="41">
        <f t="shared" si="114"/>
        <v>2.1943632156206507</v>
      </c>
      <c r="N235" s="50">
        <f t="shared" si="115"/>
        <v>0.88758554617006991</v>
      </c>
    </row>
    <row r="236" spans="1:14">
      <c r="A236" s="37" t="s">
        <v>18</v>
      </c>
      <c r="B236" s="38">
        <v>0.34009107973974134</v>
      </c>
      <c r="C236" s="38">
        <v>0.16901618003902763</v>
      </c>
      <c r="D236" s="38">
        <v>0.23246263343777526</v>
      </c>
      <c r="E236" s="38">
        <v>0.20117034956554311</v>
      </c>
      <c r="F236" s="38">
        <v>0.10535567940312331</v>
      </c>
      <c r="G236" s="38">
        <v>0.36508049530691433</v>
      </c>
      <c r="H236" s="38">
        <v>0.17507659383293409</v>
      </c>
      <c r="I236" s="40">
        <v>0.1955767844557591</v>
      </c>
      <c r="J236" s="46">
        <f t="shared" si="111"/>
        <v>1.1066503885234584</v>
      </c>
      <c r="K236" s="42">
        <f t="shared" si="112"/>
        <v>0.67717940725735959</v>
      </c>
      <c r="L236" s="42">
        <f t="shared" si="113"/>
        <v>1.4767135404339808</v>
      </c>
      <c r="M236" s="41">
        <f t="shared" si="114"/>
        <v>2.4722836295490889</v>
      </c>
      <c r="N236" s="50">
        <f t="shared" si="115"/>
        <v>1</v>
      </c>
    </row>
    <row r="237" spans="1:14">
      <c r="A237" s="37" t="s">
        <v>19</v>
      </c>
      <c r="B237" s="38">
        <v>0.14509998389874051</v>
      </c>
      <c r="C237" s="38">
        <v>0.29225714465081865</v>
      </c>
      <c r="D237" s="38">
        <v>0.39663644498034889</v>
      </c>
      <c r="E237" s="38">
        <v>0.22003006983731274</v>
      </c>
      <c r="F237" s="38">
        <v>0.23977499450365994</v>
      </c>
      <c r="G237" s="38">
        <v>0.18495571406853129</v>
      </c>
      <c r="H237" s="38">
        <v>0.31263677470166801</v>
      </c>
      <c r="I237" s="40">
        <v>0.15141428473994253</v>
      </c>
      <c r="J237" s="46">
        <f t="shared" si="111"/>
        <v>1.0189492875984394</v>
      </c>
      <c r="K237" s="42">
        <f t="shared" si="112"/>
        <v>0.92385612378258319</v>
      </c>
      <c r="L237" s="42">
        <f t="shared" si="113"/>
        <v>1.0824196260188845</v>
      </c>
      <c r="M237" s="41">
        <f t="shared" si="114"/>
        <v>2.019947911607471</v>
      </c>
      <c r="N237" s="50">
        <f t="shared" si="115"/>
        <v>0.81703728790045105</v>
      </c>
    </row>
    <row r="238" spans="1:14">
      <c r="A238" s="37" t="s">
        <v>20</v>
      </c>
      <c r="B238" s="38">
        <v>0.19415957730862987</v>
      </c>
      <c r="C238" s="38">
        <v>0.19366437296138581</v>
      </c>
      <c r="D238" s="38">
        <v>0.16043195828804208</v>
      </c>
      <c r="E238" s="38">
        <v>0.33318839146793072</v>
      </c>
      <c r="F238" s="38">
        <v>0.23977499450365994</v>
      </c>
      <c r="G238" s="38">
        <v>0.18771624711433027</v>
      </c>
      <c r="H238" s="38">
        <v>0.2942463761898052</v>
      </c>
      <c r="I238" s="40">
        <v>0.24604821270240662</v>
      </c>
      <c r="J238" s="46">
        <f t="shared" si="111"/>
        <v>0.73597215567238816</v>
      </c>
      <c r="K238" s="42">
        <f t="shared" si="112"/>
        <v>1.1132579748638025</v>
      </c>
      <c r="L238" s="42">
        <f t="shared" si="113"/>
        <v>0.89826439385924128</v>
      </c>
      <c r="M238" s="41">
        <f t="shared" si="114"/>
        <v>1.5666679418865601</v>
      </c>
      <c r="N238" s="50">
        <f t="shared" si="115"/>
        <v>0.63369264074781706</v>
      </c>
    </row>
    <row r="239" spans="1:14">
      <c r="A239" s="37" t="s">
        <v>21</v>
      </c>
      <c r="B239" s="38">
        <v>0.27398535641624644</v>
      </c>
      <c r="C239" s="38">
        <v>0.13380447586423019</v>
      </c>
      <c r="D239" s="38">
        <v>0.39710417663716541</v>
      </c>
      <c r="E239" s="38">
        <v>0.25774951038085209</v>
      </c>
      <c r="F239" s="38">
        <v>0.14168522402488998</v>
      </c>
      <c r="G239" s="38">
        <v>0.22981437606276461</v>
      </c>
      <c r="H239" s="38">
        <v>0.20523684739238909</v>
      </c>
      <c r="I239" s="40">
        <v>0.24604821270240662</v>
      </c>
      <c r="J239" s="46">
        <f t="shared" si="111"/>
        <v>1.0347083849804066</v>
      </c>
      <c r="K239" s="42">
        <f t="shared" si="112"/>
        <v>0.85071979450053781</v>
      </c>
      <c r="L239" s="42">
        <f t="shared" si="113"/>
        <v>1.1754751758034565</v>
      </c>
      <c r="M239" s="41">
        <f t="shared" si="114"/>
        <v>2.1217628001555302</v>
      </c>
      <c r="N239" s="50">
        <f t="shared" si="115"/>
        <v>0.85821981539493153</v>
      </c>
    </row>
    <row r="240" spans="1:14">
      <c r="A240" s="37" t="s">
        <v>22</v>
      </c>
      <c r="B240" s="38">
        <v>0.38540883975396117</v>
      </c>
      <c r="C240" s="38">
        <v>0.23239724755366298</v>
      </c>
      <c r="D240" s="38">
        <v>0.24976870473998386</v>
      </c>
      <c r="E240" s="38">
        <v>0.21374349641338952</v>
      </c>
      <c r="F240" s="38">
        <v>0.23977499450365994</v>
      </c>
      <c r="G240" s="38">
        <v>0.2263637097555159</v>
      </c>
      <c r="H240" s="38">
        <v>0.2273053256066245</v>
      </c>
      <c r="I240" s="40">
        <v>0.29021071241822322</v>
      </c>
      <c r="J240" s="46">
        <f t="shared" si="111"/>
        <v>1.093938501803124</v>
      </c>
      <c r="K240" s="42">
        <f t="shared" si="112"/>
        <v>0.97103452894189712</v>
      </c>
      <c r="L240" s="42">
        <f t="shared" si="113"/>
        <v>1.0298294964749251</v>
      </c>
      <c r="M240" s="41">
        <f t="shared" si="114"/>
        <v>2.0463028937227223</v>
      </c>
      <c r="N240" s="50">
        <f t="shared" si="115"/>
        <v>0.82769746531709243</v>
      </c>
    </row>
    <row r="241" spans="1:14">
      <c r="A241" s="37" t="s">
        <v>23</v>
      </c>
      <c r="B241" s="38">
        <v>0.15715700261812007</v>
      </c>
      <c r="C241" s="38">
        <v>0.53521790345692077</v>
      </c>
      <c r="D241" s="38">
        <v>0.20159234408788962</v>
      </c>
      <c r="E241" s="38">
        <v>0.19488377614161986</v>
      </c>
      <c r="F241" s="38">
        <v>0.48681589793167324</v>
      </c>
      <c r="G241" s="38">
        <v>0.22153277692536771</v>
      </c>
      <c r="H241" s="38">
        <v>0.21774231838045585</v>
      </c>
      <c r="I241" s="40">
        <v>0.30282856947988507</v>
      </c>
      <c r="J241" s="46">
        <f t="shared" si="111"/>
        <v>1.1155000270882982</v>
      </c>
      <c r="K241" s="42">
        <f t="shared" si="112"/>
        <v>1.2022705619336338</v>
      </c>
      <c r="L241" s="42">
        <f t="shared" si="113"/>
        <v>0.83175953205714503</v>
      </c>
      <c r="M241" s="41">
        <f t="shared" si="114"/>
        <v>1.8846935330836083</v>
      </c>
      <c r="N241" s="50">
        <f t="shared" si="115"/>
        <v>0.76232901053806312</v>
      </c>
    </row>
    <row r="242" spans="1:14">
      <c r="A242" s="37" t="s">
        <v>24</v>
      </c>
      <c r="B242" s="38">
        <v>0.15383092848863608</v>
      </c>
      <c r="C242" s="38">
        <v>0.21831256588374401</v>
      </c>
      <c r="D242" s="38">
        <v>0.26146199616039512</v>
      </c>
      <c r="E242" s="38">
        <v>0.31432867119616109</v>
      </c>
      <c r="F242" s="38">
        <v>0.26520567573889658</v>
      </c>
      <c r="G242" s="38">
        <v>0.26570130565815131</v>
      </c>
      <c r="H242" s="38">
        <v>0.25746557916607954</v>
      </c>
      <c r="I242" s="40">
        <v>0.23343035564074474</v>
      </c>
      <c r="J242" s="46">
        <f t="shared" si="111"/>
        <v>0.89930679619092657</v>
      </c>
      <c r="K242" s="42">
        <f t="shared" si="112"/>
        <v>1.0704302817418818</v>
      </c>
      <c r="L242" s="42">
        <f t="shared" si="113"/>
        <v>0.93420376558548723</v>
      </c>
      <c r="M242" s="41">
        <f t="shared" si="114"/>
        <v>1.763238548181179</v>
      </c>
      <c r="N242" s="50">
        <f t="shared" si="115"/>
        <v>0.71320237172899525</v>
      </c>
    </row>
    <row r="243" spans="1:14">
      <c r="A243" s="37" t="s">
        <v>25</v>
      </c>
      <c r="B243" s="38">
        <v>0.17254009546698371</v>
      </c>
      <c r="C243" s="38">
        <v>0.1584526687865884</v>
      </c>
      <c r="D243" s="38">
        <v>0.21843068373328178</v>
      </c>
      <c r="E243" s="38">
        <v>0.32061524462008428</v>
      </c>
      <c r="F243" s="38">
        <v>0.15621704187359661</v>
      </c>
      <c r="G243" s="38">
        <v>0.19944851255897589</v>
      </c>
      <c r="H243" s="38">
        <v>0.30675184717787191</v>
      </c>
      <c r="I243" s="40">
        <v>0.29021071241822322</v>
      </c>
      <c r="J243" s="46">
        <f t="shared" si="111"/>
        <v>0.74887196054582972</v>
      </c>
      <c r="K243" s="42">
        <f t="shared" si="112"/>
        <v>1.0737948460897759</v>
      </c>
      <c r="L243" s="42">
        <f t="shared" si="113"/>
        <v>0.93127658755441056</v>
      </c>
      <c r="M243" s="41">
        <f t="shared" si="114"/>
        <v>1.610096720616401</v>
      </c>
      <c r="N243" s="50">
        <f t="shared" si="115"/>
        <v>0.65125890143521314</v>
      </c>
    </row>
    <row r="244" spans="1:14">
      <c r="A244" s="37" t="s">
        <v>26</v>
      </c>
      <c r="B244" s="38">
        <v>0.32221343129376473</v>
      </c>
      <c r="C244" s="38">
        <v>0.22183373630122374</v>
      </c>
      <c r="D244" s="38">
        <v>0.18896358935384547</v>
      </c>
      <c r="E244" s="38">
        <v>0.15716433559808055</v>
      </c>
      <c r="F244" s="38">
        <v>0.26520567573889658</v>
      </c>
      <c r="G244" s="38">
        <v>0.26846183870395024</v>
      </c>
      <c r="H244" s="38">
        <v>0.26482173857082464</v>
      </c>
      <c r="I244" s="40">
        <v>0.22081249857908286</v>
      </c>
      <c r="J244" s="46">
        <f t="shared" si="111"/>
        <v>1.0014725956527841</v>
      </c>
      <c r="K244" s="42">
        <f t="shared" si="112"/>
        <v>0.90800424848688466</v>
      </c>
      <c r="L244" s="42">
        <f t="shared" si="113"/>
        <v>1.1013164328982148</v>
      </c>
      <c r="M244" s="41">
        <f t="shared" si="114"/>
        <v>2.0199465843260223</v>
      </c>
      <c r="N244" s="50">
        <f t="shared" si="115"/>
        <v>0.81703675103589679</v>
      </c>
    </row>
    <row r="245" spans="1:14" ht="14.65" thickBot="1">
      <c r="A245" s="37" t="s">
        <v>27</v>
      </c>
      <c r="B245" s="38">
        <v>0.24903980044511623</v>
      </c>
      <c r="C245" s="38">
        <v>0.17957969129146684</v>
      </c>
      <c r="D245" s="38">
        <v>5.3789140533891659E-2</v>
      </c>
      <c r="E245" s="38">
        <v>0.27032265722869853</v>
      </c>
      <c r="F245" s="38">
        <v>0.29790226589848656</v>
      </c>
      <c r="G245" s="38">
        <v>0.25120850716770665</v>
      </c>
      <c r="H245" s="38">
        <v>0.23907518065421671</v>
      </c>
      <c r="I245" s="40">
        <v>0.27759285535656131</v>
      </c>
      <c r="J245" s="47">
        <f t="shared" si="111"/>
        <v>0.73361713943818141</v>
      </c>
      <c r="K245" s="42">
        <f t="shared" si="112"/>
        <v>1.0848929591379632</v>
      </c>
      <c r="L245" s="42">
        <f t="shared" si="113"/>
        <v>0.921749921572523</v>
      </c>
      <c r="M245" s="51">
        <f t="shared" si="114"/>
        <v>1.5860318416439143</v>
      </c>
      <c r="N245" s="52">
        <f t="shared" si="115"/>
        <v>0.64152503486551216</v>
      </c>
    </row>
    <row r="246" spans="1:14" ht="14.65" thickBot="1">
      <c r="J246" s="43"/>
      <c r="K246" s="48">
        <f>SUM(K230:K245)</f>
        <v>15.553283241396622</v>
      </c>
      <c r="L246" s="48">
        <f>SUM(L230:L245)</f>
        <v>16.818383787674836</v>
      </c>
      <c r="M246" t="s">
        <v>73</v>
      </c>
    </row>
    <row r="247" spans="1:14">
      <c r="M247" s="9">
        <f>MAX(M230:M245)</f>
        <v>2.4722836295490889</v>
      </c>
    </row>
    <row r="248" spans="1:14">
      <c r="A248" s="53" t="s">
        <v>18</v>
      </c>
      <c r="B248" s="53">
        <v>1</v>
      </c>
      <c r="C248" s="54">
        <v>1</v>
      </c>
    </row>
    <row r="249" spans="1:14">
      <c r="A249" s="53" t="s">
        <v>17</v>
      </c>
      <c r="B249" s="53">
        <v>0.88758554617006991</v>
      </c>
      <c r="C249" s="54">
        <v>2</v>
      </c>
    </row>
    <row r="250" spans="1:14">
      <c r="A250" s="53" t="s">
        <v>12</v>
      </c>
      <c r="B250" s="53">
        <v>0.86702096081578972</v>
      </c>
      <c r="C250" s="54">
        <v>3</v>
      </c>
    </row>
    <row r="251" spans="1:14">
      <c r="A251" s="53" t="s">
        <v>21</v>
      </c>
      <c r="B251" s="53">
        <v>0.85821981539493153</v>
      </c>
      <c r="C251" s="54">
        <v>4</v>
      </c>
    </row>
    <row r="252" spans="1:14">
      <c r="A252" s="53" t="s">
        <v>22</v>
      </c>
      <c r="B252" s="53">
        <v>0.82769746531709243</v>
      </c>
      <c r="C252" s="54">
        <v>5</v>
      </c>
    </row>
    <row r="253" spans="1:14">
      <c r="A253" s="53" t="s">
        <v>19</v>
      </c>
      <c r="B253" s="53">
        <v>0.81703728790045105</v>
      </c>
      <c r="C253" s="54">
        <v>6</v>
      </c>
    </row>
    <row r="254" spans="1:14">
      <c r="A254" s="53" t="s">
        <v>26</v>
      </c>
      <c r="B254" s="53">
        <v>0.81703675103589679</v>
      </c>
      <c r="C254" s="54">
        <v>7</v>
      </c>
    </row>
    <row r="255" spans="1:14">
      <c r="A255" s="53" t="s">
        <v>16</v>
      </c>
      <c r="B255" s="53">
        <v>0.80940632700980808</v>
      </c>
      <c r="C255" s="54">
        <v>8</v>
      </c>
    </row>
    <row r="256" spans="1:14">
      <c r="A256" s="53" t="s">
        <v>15</v>
      </c>
      <c r="B256" s="53">
        <v>0.77703673855341271</v>
      </c>
      <c r="C256" s="54">
        <v>9</v>
      </c>
    </row>
    <row r="257" spans="1:3">
      <c r="A257" s="53" t="s">
        <v>23</v>
      </c>
      <c r="B257" s="53">
        <v>0.76232901053806312</v>
      </c>
      <c r="C257" s="54">
        <v>10</v>
      </c>
    </row>
    <row r="258" spans="1:3">
      <c r="A258" s="53" t="s">
        <v>24</v>
      </c>
      <c r="B258" s="53">
        <v>0.71320237172899525</v>
      </c>
      <c r="C258" s="54">
        <v>11</v>
      </c>
    </row>
    <row r="259" spans="1:3">
      <c r="A259" s="53" t="s">
        <v>14</v>
      </c>
      <c r="B259" s="53">
        <v>0.69171230809466377</v>
      </c>
      <c r="C259" s="54">
        <v>12</v>
      </c>
    </row>
    <row r="260" spans="1:3">
      <c r="A260" s="53" t="s">
        <v>13</v>
      </c>
      <c r="B260" s="53">
        <v>0.66490708078879979</v>
      </c>
      <c r="C260" s="54">
        <v>13</v>
      </c>
    </row>
    <row r="261" spans="1:3">
      <c r="A261" s="53" t="s">
        <v>25</v>
      </c>
      <c r="B261" s="53">
        <v>0.65125890143521314</v>
      </c>
      <c r="C261" s="54">
        <v>14</v>
      </c>
    </row>
    <row r="262" spans="1:3">
      <c r="A262" s="53" t="s">
        <v>27</v>
      </c>
      <c r="B262" s="53">
        <v>0.64152503486551216</v>
      </c>
      <c r="C262" s="54">
        <v>15</v>
      </c>
    </row>
    <row r="263" spans="1:3">
      <c r="A263" s="53" t="s">
        <v>20</v>
      </c>
      <c r="B263" s="53">
        <v>0.63369264074781706</v>
      </c>
      <c r="C263" s="54">
        <v>16</v>
      </c>
    </row>
  </sheetData>
  <sortState xmlns:xlrd2="http://schemas.microsoft.com/office/spreadsheetml/2017/richdata2" ref="A248:B263">
    <sortCondition descending="1" ref="B248:B263"/>
  </sortState>
  <conditionalFormatting sqref="Q5:S2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3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5:T2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A3503C8FC0875449B940D7390B62C76" ma:contentTypeVersion="3" ma:contentTypeDescription="Utwórz nowy dokument." ma:contentTypeScope="" ma:versionID="9218ed8368459cc1f315338e6d63016b">
  <xsd:schema xmlns:xsd="http://www.w3.org/2001/XMLSchema" xmlns:xs="http://www.w3.org/2001/XMLSchema" xmlns:p="http://schemas.microsoft.com/office/2006/metadata/properties" xmlns:ns2="053e288a-5826-445f-ae8a-f0a81d107e6d" targetNamespace="http://schemas.microsoft.com/office/2006/metadata/properties" ma:root="true" ma:fieldsID="0b93523301562413d4e335e178883ce8" ns2:_="">
    <xsd:import namespace="053e288a-5826-445f-ae8a-f0a81d107e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e288a-5826-445f-ae8a-f0a81d107e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6DBD03-8708-489E-99FF-FE68621471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3e288a-5826-445f-ae8a-f0a81d107e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59D3B5-2BE3-41D0-8BEA-C455EC2FAE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38D944-83CC-43AF-9A76-BC57AF6CB6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WZR_Student</dc:creator>
  <cp:keywords/>
  <dc:description/>
  <cp:lastModifiedBy>Kacper Chwiedor</cp:lastModifiedBy>
  <cp:revision/>
  <dcterms:created xsi:type="dcterms:W3CDTF">2022-11-08T07:12:03Z</dcterms:created>
  <dcterms:modified xsi:type="dcterms:W3CDTF">2026-05-16T12:52:11Z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0x010100DA3503C8FC0875449B940D7390B62C76</vt:lpwstr>
  </property>
</Properties>
</file>